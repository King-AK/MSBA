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eachingMaterials\BusinessAnalytics\Optimization\BIPMIP\"/>
    </mc:Choice>
  </mc:AlternateContent>
  <bookViews>
    <workbookView xWindow="0" yWindow="0" windowWidth="23040" windowHeight="9780"/>
  </bookViews>
  <sheets>
    <sheet name="Summary" sheetId="5" r:id="rId1"/>
    <sheet name="Original" sheetId="1" r:id="rId2"/>
  </sheets>
  <definedNames>
    <definedName name="Bound" localSheetId="1">Original!$B$2</definedName>
    <definedName name="ConstraintsFeasible" localSheetId="1">Original!$B$4</definedName>
    <definedName name="Feasible" localSheetId="1">Original!$B$3</definedName>
    <definedName name="HeadProblem" localSheetId="0">Summary!$A$3</definedName>
    <definedName name="HeadProblem">#REF!</definedName>
    <definedName name="sheetRange" localSheetId="0">OFFSET(Summary!HeadProblem,1,0,COUNTA(OFFSET(Summary!HeadProblem,1,0,ROWS(Summary!XEZ:XEZ)-ROW(Summary!HeadProblem))),1)</definedName>
    <definedName name="solver_adj" localSheetId="1" hidden="1">Original!$B$10:$G$10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Original!$B$10:$G$10</definedName>
    <definedName name="solver_lhs2" localSheetId="1" hidden="1">Original!$H$13:$H$18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Original!$B$1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2" localSheetId="1" hidden="1">1</definedName>
    <definedName name="solver_rhs1" localSheetId="1" hidden="1">1</definedName>
    <definedName name="solver_rhs2" localSheetId="1" hidden="1">Original!$J$13:$J$18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B4" i="1" l="1"/>
  <c r="K14" i="1"/>
  <c r="K15" i="1"/>
  <c r="K16" i="1"/>
  <c r="K17" i="1"/>
  <c r="K18" i="1"/>
  <c r="K13" i="1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B4" i="5"/>
  <c r="D4" i="5"/>
  <c r="C4" i="5"/>
  <c r="F4" i="5" l="1"/>
  <c r="F2" i="5" s="1"/>
  <c r="B1" i="1"/>
  <c r="H14" i="1"/>
  <c r="H15" i="1"/>
  <c r="H16" i="1"/>
  <c r="H17" i="1"/>
  <c r="H18" i="1"/>
  <c r="H13" i="1"/>
  <c r="E5" i="5" l="1"/>
  <c r="E17" i="5"/>
  <c r="E10" i="5"/>
  <c r="E12" i="5"/>
  <c r="E6" i="5"/>
  <c r="E18" i="5"/>
  <c r="E8" i="5"/>
  <c r="E11" i="5"/>
  <c r="E7" i="5"/>
  <c r="E19" i="5"/>
  <c r="E9" i="5"/>
  <c r="E14" i="5"/>
  <c r="E13" i="5"/>
  <c r="E15" i="5"/>
  <c r="E16" i="5"/>
  <c r="E4" i="5"/>
  <c r="B3" i="1"/>
  <c r="B2" i="1"/>
</calcChain>
</file>

<file path=xl/sharedStrings.xml><?xml version="1.0" encoding="utf-8"?>
<sst xmlns="http://schemas.openxmlformats.org/spreadsheetml/2006/main" count="45" uniqueCount="34">
  <si>
    <t>Objective Function</t>
  </si>
  <si>
    <t>Decision Variables</t>
  </si>
  <si>
    <t>Constraints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</si>
  <si>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1</t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</si>
  <si>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</si>
  <si>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</si>
  <si>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4</t>
    </r>
    <r>
      <rPr>
        <sz val="12"/>
        <color theme="1"/>
        <rFont val="Times New Roman"/>
        <family val="2"/>
      </rPr>
      <t/>
    </r>
  </si>
  <si>
    <t>Objective Function Coefficients</t>
  </si>
  <si>
    <t>LHS Value</t>
  </si>
  <si>
    <t>RHS Constraint</t>
  </si>
  <si>
    <t>Bound</t>
  </si>
  <si>
    <t>red font indicates variables fixed to a particular value</t>
  </si>
  <si>
    <t>Problem</t>
  </si>
  <si>
    <t>Upper Bound</t>
  </si>
  <si>
    <t>Fathom Branch?</t>
  </si>
  <si>
    <t>Max. Feasible Soln.</t>
  </si>
  <si>
    <t>Feasible Binary Solutions</t>
  </si>
  <si>
    <t>Original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</si>
  <si>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5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</si>
  <si>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6</t>
    </r>
    <r>
      <rPr>
        <sz val="12"/>
        <color theme="1"/>
        <rFont val="Times New Roman"/>
        <family val="2"/>
      </rPr>
      <t/>
    </r>
  </si>
  <si>
    <t>Option 1 is required for Option 2</t>
  </si>
  <si>
    <t>Option 1 is required for Option 3</t>
  </si>
  <si>
    <t>Option 6 is required for Option 4</t>
  </si>
  <si>
    <t>Options 3 and 4 are incompatible</t>
  </si>
  <si>
    <t>Options 2 and 3 are incompatible</t>
  </si>
  <si>
    <t>Constraint Type</t>
  </si>
  <si>
    <t>≤</t>
  </si>
  <si>
    <t>Choose at most 3 Options</t>
  </si>
  <si>
    <t>This problem represents the selection of options on a new vehicle, where a customer can choose among 6 options.  There are some restrictions, however,  including that some options require other options to be installed and other Option combinations that are incompatible.</t>
  </si>
  <si>
    <t>BIP Feasible?</t>
  </si>
  <si>
    <t>Constraints Feasible?</t>
  </si>
  <si>
    <t>Binary Feasible?</t>
  </si>
  <si>
    <t>Constraint Feasible?</t>
  </si>
  <si>
    <t>Constraint Satisfied?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</si>
</sst>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vertAlign val="sub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4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161925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btnUpda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9"/>
  <sheetViews>
    <sheetView tabSelected="1" workbookViewId="0">
      <selection activeCell="D6" sqref="D6"/>
    </sheetView>
  </sheetViews>
  <sheetFormatPr defaultRowHeight="15.75" x14ac:dyDescent="0.25"/>
  <cols>
    <col min="1" max="1" width="9.25" customWidth="1"/>
    <col min="2" max="2" width="8.875" bestFit="1" customWidth="1"/>
    <col min="3" max="3" width="10.875" customWidth="1"/>
    <col min="4" max="4" width="11.875" bestFit="1" customWidth="1"/>
    <col min="5" max="5" width="14.75" bestFit="1" customWidth="1"/>
    <col min="6" max="6" width="17.75" bestFit="1" customWidth="1"/>
  </cols>
  <sheetData>
    <row r="1" spans="1:6" x14ac:dyDescent="0.25">
      <c r="F1" s="11" t="s">
        <v>15</v>
      </c>
    </row>
    <row r="2" spans="1:6" x14ac:dyDescent="0.25">
      <c r="F2" s="2" t="str">
        <f ca="1">IF(MIN(F4:F19)=0,"",MAX(F4:F19))</f>
        <v/>
      </c>
    </row>
    <row r="3" spans="1:6" ht="31.5" x14ac:dyDescent="0.25">
      <c r="A3" s="11" t="s">
        <v>12</v>
      </c>
      <c r="B3" s="16" t="s">
        <v>29</v>
      </c>
      <c r="C3" s="16" t="s">
        <v>30</v>
      </c>
      <c r="D3" s="11" t="s">
        <v>13</v>
      </c>
      <c r="E3" s="11" t="s">
        <v>14</v>
      </c>
      <c r="F3" s="12" t="s">
        <v>16</v>
      </c>
    </row>
    <row r="4" spans="1:6" x14ac:dyDescent="0.25">
      <c r="A4" s="2" t="s">
        <v>17</v>
      </c>
      <c r="B4" s="2" t="b">
        <f ca="1">IF(A4&lt;&gt;"",INDIRECT(A4&amp;"!Feasible"),"")</f>
        <v>1</v>
      </c>
      <c r="C4" s="2" t="b">
        <f ca="1">IF(A4&lt;&gt;"",INDIRECT(A4&amp;"!ConstraintsFeasible"),"")</f>
        <v>1</v>
      </c>
      <c r="D4" s="2">
        <f ca="1">IF(A4&lt;&gt;"",INDIRECT(A4&amp;"!Bound"),"")</f>
        <v>0</v>
      </c>
      <c r="E4" s="2" t="str">
        <f ca="1">IF($F$2="","",IF(A4="","",IF(OR(D4&lt;$F$2,NOT(C4)),"Yes","")))</f>
        <v/>
      </c>
      <c r="F4" s="2">
        <f ca="1">IF(A4&lt;&gt;"",IF(AND(B4,C4),D4,""),"")</f>
        <v>0</v>
      </c>
    </row>
    <row r="5" spans="1:6" x14ac:dyDescent="0.25">
      <c r="A5" s="2"/>
      <c r="B5" s="2" t="str">
        <f t="shared" ref="B5:B19" ca="1" si="0">IF(A5&lt;&gt;"",INDIRECT(A5&amp;"!Feasible"),"")</f>
        <v/>
      </c>
      <c r="C5" s="2" t="str">
        <f t="shared" ref="C5:C19" ca="1" si="1">IF(A5&lt;&gt;"",INDIRECT(A5&amp;"!ConstraintsFeasible"),"")</f>
        <v/>
      </c>
      <c r="D5" s="2" t="str">
        <f t="shared" ref="D5:D19" ca="1" si="2">IF(A5&lt;&gt;"",INDIRECT(A5&amp;"!Bound"),"")</f>
        <v/>
      </c>
      <c r="E5" s="2" t="str">
        <f t="shared" ref="E5:E19" ca="1" si="3">IF($F$2="","",IF(A5="","",IF(OR(D5&lt;$F$2,NOT(C5)),"Yes","")))</f>
        <v/>
      </c>
      <c r="F5" s="2" t="str">
        <f t="shared" ref="F5:F19" si="4">IF(A5&lt;&gt;"",IF(AND(B5,C5),D5,""),"")</f>
        <v/>
      </c>
    </row>
    <row r="6" spans="1:6" x14ac:dyDescent="0.25">
      <c r="A6" s="2"/>
      <c r="B6" s="2" t="str">
        <f t="shared" ca="1" si="0"/>
        <v/>
      </c>
      <c r="C6" s="2" t="str">
        <f t="shared" ca="1" si="1"/>
        <v/>
      </c>
      <c r="D6" s="2" t="str">
        <f t="shared" ca="1" si="2"/>
        <v/>
      </c>
      <c r="E6" s="2" t="str">
        <f t="shared" ca="1" si="3"/>
        <v/>
      </c>
      <c r="F6" s="2" t="str">
        <f t="shared" si="4"/>
        <v/>
      </c>
    </row>
    <row r="7" spans="1:6" x14ac:dyDescent="0.25">
      <c r="A7" s="2"/>
      <c r="B7" s="2" t="str">
        <f t="shared" ca="1" si="0"/>
        <v/>
      </c>
      <c r="C7" s="2" t="str">
        <f t="shared" ca="1" si="1"/>
        <v/>
      </c>
      <c r="D7" s="2" t="str">
        <f t="shared" ca="1" si="2"/>
        <v/>
      </c>
      <c r="E7" s="2" t="str">
        <f t="shared" ca="1" si="3"/>
        <v/>
      </c>
      <c r="F7" s="2" t="str">
        <f t="shared" si="4"/>
        <v/>
      </c>
    </row>
    <row r="8" spans="1:6" x14ac:dyDescent="0.25">
      <c r="A8" s="2"/>
      <c r="B8" s="2" t="str">
        <f t="shared" ca="1" si="0"/>
        <v/>
      </c>
      <c r="C8" s="2" t="str">
        <f t="shared" ca="1" si="1"/>
        <v/>
      </c>
      <c r="D8" s="2" t="str">
        <f t="shared" ca="1" si="2"/>
        <v/>
      </c>
      <c r="E8" s="2" t="str">
        <f t="shared" ca="1" si="3"/>
        <v/>
      </c>
      <c r="F8" s="2" t="str">
        <f t="shared" si="4"/>
        <v/>
      </c>
    </row>
    <row r="9" spans="1:6" x14ac:dyDescent="0.25">
      <c r="A9" s="2"/>
      <c r="B9" s="2" t="str">
        <f t="shared" ca="1" si="0"/>
        <v/>
      </c>
      <c r="C9" s="2" t="str">
        <f t="shared" ca="1" si="1"/>
        <v/>
      </c>
      <c r="D9" s="2" t="str">
        <f t="shared" ca="1" si="2"/>
        <v/>
      </c>
      <c r="E9" s="2" t="str">
        <f t="shared" ca="1" si="3"/>
        <v/>
      </c>
      <c r="F9" s="2" t="str">
        <f t="shared" si="4"/>
        <v/>
      </c>
    </row>
    <row r="10" spans="1:6" x14ac:dyDescent="0.25">
      <c r="A10" s="2"/>
      <c r="B10" s="2" t="str">
        <f t="shared" ca="1" si="0"/>
        <v/>
      </c>
      <c r="C10" s="2" t="str">
        <f t="shared" ca="1" si="1"/>
        <v/>
      </c>
      <c r="D10" s="2" t="str">
        <f t="shared" ca="1" si="2"/>
        <v/>
      </c>
      <c r="E10" s="2" t="str">
        <f t="shared" ca="1" si="3"/>
        <v/>
      </c>
      <c r="F10" s="2" t="str">
        <f t="shared" si="4"/>
        <v/>
      </c>
    </row>
    <row r="11" spans="1:6" x14ac:dyDescent="0.25">
      <c r="A11" s="2"/>
      <c r="B11" s="2" t="str">
        <f t="shared" ca="1" si="0"/>
        <v/>
      </c>
      <c r="C11" s="2" t="str">
        <f t="shared" ca="1" si="1"/>
        <v/>
      </c>
      <c r="D11" s="2" t="str">
        <f t="shared" ca="1" si="2"/>
        <v/>
      </c>
      <c r="E11" s="2" t="str">
        <f t="shared" ca="1" si="3"/>
        <v/>
      </c>
      <c r="F11" s="2" t="str">
        <f t="shared" si="4"/>
        <v/>
      </c>
    </row>
    <row r="12" spans="1:6" x14ac:dyDescent="0.25">
      <c r="A12" s="2"/>
      <c r="B12" s="2" t="str">
        <f t="shared" ca="1" si="0"/>
        <v/>
      </c>
      <c r="C12" s="2" t="str">
        <f t="shared" ca="1" si="1"/>
        <v/>
      </c>
      <c r="D12" s="2" t="str">
        <f t="shared" ca="1" si="2"/>
        <v/>
      </c>
      <c r="E12" s="2" t="str">
        <f t="shared" ca="1" si="3"/>
        <v/>
      </c>
      <c r="F12" s="2" t="str">
        <f t="shared" si="4"/>
        <v/>
      </c>
    </row>
    <row r="13" spans="1:6" x14ac:dyDescent="0.25">
      <c r="A13" s="2"/>
      <c r="B13" s="2" t="str">
        <f t="shared" ca="1" si="0"/>
        <v/>
      </c>
      <c r="C13" s="2" t="str">
        <f t="shared" ca="1" si="1"/>
        <v/>
      </c>
      <c r="D13" s="2" t="str">
        <f t="shared" ca="1" si="2"/>
        <v/>
      </c>
      <c r="E13" s="2" t="str">
        <f t="shared" ca="1" si="3"/>
        <v/>
      </c>
      <c r="F13" s="2" t="str">
        <f t="shared" si="4"/>
        <v/>
      </c>
    </row>
    <row r="14" spans="1:6" x14ac:dyDescent="0.25">
      <c r="A14" s="2"/>
      <c r="B14" s="2" t="str">
        <f t="shared" ca="1" si="0"/>
        <v/>
      </c>
      <c r="C14" s="2" t="str">
        <f t="shared" ca="1" si="1"/>
        <v/>
      </c>
      <c r="D14" s="2" t="str">
        <f t="shared" ca="1" si="2"/>
        <v/>
      </c>
      <c r="E14" s="2" t="str">
        <f t="shared" ca="1" si="3"/>
        <v/>
      </c>
      <c r="F14" s="2" t="str">
        <f t="shared" si="4"/>
        <v/>
      </c>
    </row>
    <row r="15" spans="1:6" x14ac:dyDescent="0.25">
      <c r="A15" s="2"/>
      <c r="B15" s="2" t="str">
        <f t="shared" ca="1" si="0"/>
        <v/>
      </c>
      <c r="C15" s="2" t="str">
        <f t="shared" ca="1" si="1"/>
        <v/>
      </c>
      <c r="D15" s="2" t="str">
        <f t="shared" ca="1" si="2"/>
        <v/>
      </c>
      <c r="E15" s="2" t="str">
        <f t="shared" ca="1" si="3"/>
        <v/>
      </c>
      <c r="F15" s="2" t="str">
        <f t="shared" si="4"/>
        <v/>
      </c>
    </row>
    <row r="16" spans="1:6" x14ac:dyDescent="0.25">
      <c r="A16" s="2"/>
      <c r="B16" s="2" t="str">
        <f t="shared" ca="1" si="0"/>
        <v/>
      </c>
      <c r="C16" s="2" t="str">
        <f t="shared" ca="1" si="1"/>
        <v/>
      </c>
      <c r="D16" s="2" t="str">
        <f t="shared" ca="1" si="2"/>
        <v/>
      </c>
      <c r="E16" s="2" t="str">
        <f t="shared" ca="1" si="3"/>
        <v/>
      </c>
      <c r="F16" s="2" t="str">
        <f t="shared" si="4"/>
        <v/>
      </c>
    </row>
    <row r="17" spans="1:6" x14ac:dyDescent="0.25">
      <c r="A17" s="2"/>
      <c r="B17" s="2" t="str">
        <f t="shared" ca="1" si="0"/>
        <v/>
      </c>
      <c r="C17" s="2" t="str">
        <f t="shared" ca="1" si="1"/>
        <v/>
      </c>
      <c r="D17" s="2" t="str">
        <f t="shared" ca="1" si="2"/>
        <v/>
      </c>
      <c r="E17" s="2" t="str">
        <f t="shared" ca="1" si="3"/>
        <v/>
      </c>
      <c r="F17" s="2" t="str">
        <f t="shared" si="4"/>
        <v/>
      </c>
    </row>
    <row r="18" spans="1:6" x14ac:dyDescent="0.25">
      <c r="A18" s="2"/>
      <c r="B18" s="2" t="str">
        <f t="shared" ca="1" si="0"/>
        <v/>
      </c>
      <c r="C18" s="2" t="str">
        <f t="shared" ca="1" si="1"/>
        <v/>
      </c>
      <c r="D18" s="2" t="str">
        <f t="shared" ca="1" si="2"/>
        <v/>
      </c>
      <c r="E18" s="2" t="str">
        <f t="shared" ca="1" si="3"/>
        <v/>
      </c>
      <c r="F18" s="2" t="str">
        <f t="shared" si="4"/>
        <v/>
      </c>
    </row>
    <row r="19" spans="1:6" x14ac:dyDescent="0.25">
      <c r="A19" s="2"/>
      <c r="B19" s="2" t="str">
        <f t="shared" ca="1" si="0"/>
        <v/>
      </c>
      <c r="C19" s="2" t="str">
        <f t="shared" ca="1" si="1"/>
        <v/>
      </c>
      <c r="D19" s="2" t="str">
        <f t="shared" ca="1" si="2"/>
        <v/>
      </c>
      <c r="E19" s="2" t="str">
        <f t="shared" ca="1" si="3"/>
        <v/>
      </c>
      <c r="F19" s="2" t="str">
        <f t="shared" si="4"/>
        <v/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Update">
          <controlPr defaultSize="0" autoLine="0" r:id="rId5">
            <anchor moveWithCells="1">
              <from>
                <xdr:col>6</xdr:col>
                <xdr:colOff>190500</xdr:colOff>
                <xdr:row>2</xdr:row>
                <xdr:rowOff>161925</xdr:rowOff>
              </from>
              <to>
                <xdr:col>7</xdr:col>
                <xdr:colOff>314325</xdr:colOff>
                <xdr:row>4</xdr:row>
                <xdr:rowOff>66675</xdr:rowOff>
              </to>
            </anchor>
          </controlPr>
        </control>
      </mc:Choice>
      <mc:Fallback>
        <control shapeId="3073" r:id="rId4" name="btn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zoomScale="120" zoomScaleNormal="120" workbookViewId="0">
      <selection activeCell="B5" sqref="B5"/>
    </sheetView>
  </sheetViews>
  <sheetFormatPr defaultRowHeight="15.75" x14ac:dyDescent="0.25"/>
  <cols>
    <col min="1" max="1" width="27.125" customWidth="1"/>
    <col min="6" max="6" width="10.25" customWidth="1"/>
    <col min="7" max="7" width="13" bestFit="1" customWidth="1"/>
    <col min="8" max="8" width="13.375" bestFit="1" customWidth="1"/>
    <col min="9" max="9" width="13.25" customWidth="1"/>
    <col min="10" max="10" width="13.375" bestFit="1" customWidth="1"/>
    <col min="11" max="11" width="11.625" customWidth="1"/>
  </cols>
  <sheetData>
    <row r="1" spans="1:11" ht="31.15" customHeight="1" x14ac:dyDescent="0.25">
      <c r="A1" s="3" t="s">
        <v>0</v>
      </c>
      <c r="B1" s="2">
        <f>SUMPRODUCT(B6:G6,B10:G10)</f>
        <v>0</v>
      </c>
      <c r="D1" s="20" t="s">
        <v>28</v>
      </c>
      <c r="E1" s="20"/>
      <c r="F1" s="20"/>
      <c r="G1" s="20"/>
      <c r="H1" s="20"/>
      <c r="I1" s="20"/>
      <c r="J1" s="20"/>
      <c r="K1" s="20"/>
    </row>
    <row r="2" spans="1:11" x14ac:dyDescent="0.25">
      <c r="A2" s="3" t="s">
        <v>10</v>
      </c>
      <c r="B2" s="2">
        <f>FLOOR(B1,1)</f>
        <v>0</v>
      </c>
      <c r="D2" s="20"/>
      <c r="E2" s="20"/>
      <c r="F2" s="20"/>
      <c r="G2" s="20"/>
      <c r="H2" s="20"/>
      <c r="I2" s="20"/>
      <c r="J2" s="20"/>
      <c r="K2" s="20"/>
    </row>
    <row r="3" spans="1:11" x14ac:dyDescent="0.25">
      <c r="A3" s="3" t="s">
        <v>31</v>
      </c>
      <c r="B3" s="2" t="b">
        <f>IF(AND(B10=FLOOR(B10,1),C10=FLOOR(C10,1),D10=FLOOR(D10,1),E10=FLOOR(E10,1)),TRUE,FALSE)</f>
        <v>1</v>
      </c>
      <c r="D3" s="20"/>
      <c r="E3" s="20"/>
      <c r="F3" s="20"/>
      <c r="G3" s="20"/>
      <c r="H3" s="20"/>
      <c r="I3" s="20"/>
      <c r="J3" s="20"/>
      <c r="K3" s="20"/>
    </row>
    <row r="4" spans="1:11" x14ac:dyDescent="0.25">
      <c r="A4" s="15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25">
      <c r="A5" s="4"/>
      <c r="B5" s="5"/>
    </row>
    <row r="6" spans="1:11" x14ac:dyDescent="0.25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25">
      <c r="A7" s="4"/>
      <c r="B7" s="5"/>
    </row>
    <row r="8" spans="1:11" x14ac:dyDescent="0.25">
      <c r="A8" s="10" t="s">
        <v>11</v>
      </c>
    </row>
    <row r="9" spans="1:11" ht="18.75" x14ac:dyDescent="0.35">
      <c r="A9" s="19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25">
      <c r="A10" s="19"/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2" spans="1:11" ht="33" x14ac:dyDescent="0.35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25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25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25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25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</v>
      </c>
      <c r="I16" s="2" t="s">
        <v>26</v>
      </c>
      <c r="J16" s="2">
        <v>1</v>
      </c>
      <c r="K16" s="2" t="b">
        <f t="shared" si="1"/>
        <v>1</v>
      </c>
    </row>
    <row r="17" spans="1:11" x14ac:dyDescent="0.25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25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0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A9:A10"/>
    <mergeCell ref="D1:K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Original</vt:lpstr>
      <vt:lpstr>Original!Bound</vt:lpstr>
      <vt:lpstr>Original!ConstraintsFeasible</vt:lpstr>
      <vt:lpstr>Original!Feasible</vt:lpstr>
      <vt:lpstr>Summary!HeadProblem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Bradley, James</cp:lastModifiedBy>
  <dcterms:created xsi:type="dcterms:W3CDTF">2016-09-23T16:50:52Z</dcterms:created>
  <dcterms:modified xsi:type="dcterms:W3CDTF">2016-10-11T20:48:50Z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e4db6787-6e24-481b-9b18-f152c964d6fb</vt:lpwstr>
  </property>
</Properties>
</file>