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J\Documents\MSBA\Optimization\Branch and Bound\"/>
    </mc:Choice>
  </mc:AlternateContent>
  <bookViews>
    <workbookView xWindow="0" yWindow="0" windowWidth="23040" windowHeight="8232"/>
  </bookViews>
  <sheets>
    <sheet name="Summary" sheetId="5" r:id="rId1"/>
    <sheet name="Original" sheetId="1" r:id="rId2"/>
    <sheet name="0xxxxx" sheetId="6" r:id="rId3"/>
    <sheet name="1xxxxx" sheetId="7" r:id="rId4"/>
    <sheet name="00xxxx" sheetId="8" r:id="rId5"/>
    <sheet name="01xxxx" sheetId="9" r:id="rId6"/>
    <sheet name="10xxxx" sheetId="10" r:id="rId7"/>
    <sheet name="11xxxx" sheetId="11" r:id="rId8"/>
    <sheet name="110xxx" sheetId="12" r:id="rId9"/>
    <sheet name="111xxx" sheetId="13" r:id="rId10"/>
    <sheet name="1100xx" sheetId="14" r:id="rId11"/>
    <sheet name="1101xx" sheetId="15" r:id="rId12"/>
    <sheet name="110010" sheetId="16" r:id="rId13"/>
    <sheet name="001xxx" sheetId="17" r:id="rId14"/>
    <sheet name="000xxx" sheetId="18" r:id="rId15"/>
    <sheet name="0000xx" sheetId="19" r:id="rId16"/>
    <sheet name="0001xx" sheetId="20" r:id="rId17"/>
    <sheet name="00011x " sheetId="21" r:id="rId18"/>
    <sheet name="000111" sheetId="23" r:id="rId19"/>
  </sheets>
  <definedNames>
    <definedName name="Bound" localSheetId="15">'0000xx'!$B$2</definedName>
    <definedName name="Bound" localSheetId="18">'000111'!$B$2</definedName>
    <definedName name="Bound" localSheetId="17">'00011x '!$B$2</definedName>
    <definedName name="Bound" localSheetId="16">'0001xx'!$B$2</definedName>
    <definedName name="Bound" localSheetId="14">'000xxx'!$B$2</definedName>
    <definedName name="Bound" localSheetId="13">'001xxx'!$B$2</definedName>
    <definedName name="Bound" localSheetId="4">'00xxxx'!$B$2</definedName>
    <definedName name="Bound" localSheetId="5">'01xxxx'!$B$2</definedName>
    <definedName name="Bound" localSheetId="2">'0xxxxx'!$B$2</definedName>
    <definedName name="Bound" localSheetId="6">'10xxxx'!$B$2</definedName>
    <definedName name="Bound" localSheetId="12">'110010'!$B$2</definedName>
    <definedName name="Bound" localSheetId="10">'1100xx'!$B$2</definedName>
    <definedName name="Bound" localSheetId="11">'1101xx'!$B$2</definedName>
    <definedName name="Bound" localSheetId="8">'110xxx'!$B$2</definedName>
    <definedName name="Bound" localSheetId="9">'111xxx'!$B$2</definedName>
    <definedName name="Bound" localSheetId="7">'11xxxx'!$B$2</definedName>
    <definedName name="Bound" localSheetId="3">'1xxxxx'!$B$2</definedName>
    <definedName name="Bound" localSheetId="1">Original!$B$2</definedName>
    <definedName name="ConstraintsFeasible" localSheetId="15">'0000xx'!$B$4</definedName>
    <definedName name="ConstraintsFeasible" localSheetId="18">'000111'!$B$4</definedName>
    <definedName name="ConstraintsFeasible" localSheetId="17">'00011x '!$B$4</definedName>
    <definedName name="ConstraintsFeasible" localSheetId="16">'0001xx'!$B$4</definedName>
    <definedName name="ConstraintsFeasible" localSheetId="14">'000xxx'!$B$4</definedName>
    <definedName name="ConstraintsFeasible" localSheetId="13">'001xxx'!$B$4</definedName>
    <definedName name="ConstraintsFeasible" localSheetId="4">'00xxxx'!$B$4</definedName>
    <definedName name="ConstraintsFeasible" localSheetId="5">'01xxxx'!$B$4</definedName>
    <definedName name="ConstraintsFeasible" localSheetId="2">'0xxxxx'!$B$4</definedName>
    <definedName name="ConstraintsFeasible" localSheetId="6">'10xxxx'!$B$4</definedName>
    <definedName name="ConstraintsFeasible" localSheetId="12">'110010'!$B$4</definedName>
    <definedName name="ConstraintsFeasible" localSheetId="10">'1100xx'!$B$4</definedName>
    <definedName name="ConstraintsFeasible" localSheetId="11">'1101xx'!$B$4</definedName>
    <definedName name="ConstraintsFeasible" localSheetId="8">'110xxx'!$B$4</definedName>
    <definedName name="ConstraintsFeasible" localSheetId="9">'111xxx'!$B$4</definedName>
    <definedName name="ConstraintsFeasible" localSheetId="7">'11xxxx'!$B$4</definedName>
    <definedName name="ConstraintsFeasible" localSheetId="3">'1xxxxx'!$B$4</definedName>
    <definedName name="ConstraintsFeasible" localSheetId="1">Original!$B$4</definedName>
    <definedName name="Feasible" localSheetId="15">'0000xx'!$B$3</definedName>
    <definedName name="Feasible" localSheetId="18">'000111'!$B$3</definedName>
    <definedName name="Feasible" localSheetId="17">'00011x '!$B$3</definedName>
    <definedName name="Feasible" localSheetId="16">'0001xx'!$B$3</definedName>
    <definedName name="Feasible" localSheetId="14">'000xxx'!$B$3</definedName>
    <definedName name="Feasible" localSheetId="13">'001xxx'!$B$3</definedName>
    <definedName name="Feasible" localSheetId="4">'00xxxx'!$B$3</definedName>
    <definedName name="Feasible" localSheetId="5">'01xxxx'!$B$3</definedName>
    <definedName name="Feasible" localSheetId="2">'0xxxxx'!$B$3</definedName>
    <definedName name="Feasible" localSheetId="6">'10xxxx'!$B$3</definedName>
    <definedName name="Feasible" localSheetId="12">'110010'!$B$3</definedName>
    <definedName name="Feasible" localSheetId="10">'1100xx'!$B$3</definedName>
    <definedName name="Feasible" localSheetId="11">'1101xx'!$B$3</definedName>
    <definedName name="Feasible" localSheetId="8">'110xxx'!$B$3</definedName>
    <definedName name="Feasible" localSheetId="9">'111xxx'!$B$3</definedName>
    <definedName name="Feasible" localSheetId="7">'11xxxx'!$B$3</definedName>
    <definedName name="Feasible" localSheetId="3">'1xxxxx'!$B$3</definedName>
    <definedName name="Feasible" localSheetId="1">Original!$B$3</definedName>
    <definedName name="HeadProblem" localSheetId="15">#REF!</definedName>
    <definedName name="HeadProblem" localSheetId="18">#REF!</definedName>
    <definedName name="HeadProblem" localSheetId="17">#REF!</definedName>
    <definedName name="HeadProblem" localSheetId="16">#REF!</definedName>
    <definedName name="HeadProblem" localSheetId="14">#REF!</definedName>
    <definedName name="HeadProblem" localSheetId="13">#REF!</definedName>
    <definedName name="HeadProblem" localSheetId="4">#REF!</definedName>
    <definedName name="HeadProblem" localSheetId="5">#REF!</definedName>
    <definedName name="HeadProblem" localSheetId="2">#REF!</definedName>
    <definedName name="HeadProblem" localSheetId="6">#REF!</definedName>
    <definedName name="HeadProblem" localSheetId="12">#REF!</definedName>
    <definedName name="HeadProblem" localSheetId="10">#REF!</definedName>
    <definedName name="HeadProblem" localSheetId="11">#REF!</definedName>
    <definedName name="HeadProblem" localSheetId="8">#REF!</definedName>
    <definedName name="HeadProblem" localSheetId="9">#REF!</definedName>
    <definedName name="HeadProblem" localSheetId="7">#REF!</definedName>
    <definedName name="HeadProblem" localSheetId="3">#REF!</definedName>
    <definedName name="HeadProblem" localSheetId="0">Summary!$A$3</definedName>
    <definedName name="HeadProblem">#REF!</definedName>
    <definedName name="HeadProblem2" localSheetId="15">#REF!</definedName>
    <definedName name="HeadProblem2" localSheetId="18">#REF!</definedName>
    <definedName name="HeadProblem2" localSheetId="17">#REF!</definedName>
    <definedName name="HeadProblem2" localSheetId="16">#REF!</definedName>
    <definedName name="HeadProblem2" localSheetId="14">#REF!</definedName>
    <definedName name="HeadProblem2" localSheetId="13">#REF!</definedName>
    <definedName name="HeadProblem2" localSheetId="5">#REF!</definedName>
    <definedName name="HeadProblem2" localSheetId="6">#REF!</definedName>
    <definedName name="HeadProblem2" localSheetId="12">#REF!</definedName>
    <definedName name="HeadProblem2" localSheetId="10">#REF!</definedName>
    <definedName name="HeadProblem2" localSheetId="11">#REF!</definedName>
    <definedName name="HeadProblem2" localSheetId="8">#REF!</definedName>
    <definedName name="HeadProblem2" localSheetId="9">#REF!</definedName>
    <definedName name="HeadProblem2" localSheetId="7">#REF!</definedName>
    <definedName name="HeadProblem2">#REF!</definedName>
    <definedName name="Poopy" localSheetId="15">#REF!</definedName>
    <definedName name="Poopy" localSheetId="18">#REF!</definedName>
    <definedName name="Poopy" localSheetId="17">#REF!</definedName>
    <definedName name="Poopy" localSheetId="16">#REF!</definedName>
    <definedName name="Poopy" localSheetId="14">#REF!</definedName>
    <definedName name="Poopy" localSheetId="13">#REF!</definedName>
    <definedName name="Poopy" localSheetId="4">#REF!</definedName>
    <definedName name="Poopy" localSheetId="5">#REF!</definedName>
    <definedName name="Poopy" localSheetId="6">#REF!</definedName>
    <definedName name="Poopy" localSheetId="12">#REF!</definedName>
    <definedName name="Poopy" localSheetId="10">#REF!</definedName>
    <definedName name="Poopy" localSheetId="11">#REF!</definedName>
    <definedName name="Poopy" localSheetId="8">#REF!</definedName>
    <definedName name="Poopy" localSheetId="9">#REF!</definedName>
    <definedName name="Poopy" localSheetId="7">#REF!</definedName>
    <definedName name="Poopy">#REF!</definedName>
    <definedName name="sheetRange" localSheetId="0">OFFSET(Summary!HeadProblem,1,0,COUNTA(OFFSET(Summary!HeadProblem,1,0,ROWS(Summary!XEZ:XEZ)-ROW(Summary!HeadProblem))),1)</definedName>
    <definedName name="solver_adj" localSheetId="15" hidden="1">'0000xx'!$F$10:$G$10</definedName>
    <definedName name="solver_adj" localSheetId="18" hidden="1">'000111'!$G$10</definedName>
    <definedName name="solver_adj" localSheetId="17" hidden="1">'00011x '!$G$10</definedName>
    <definedName name="solver_adj" localSheetId="16" hidden="1">'0001xx'!$F$10:$G$10</definedName>
    <definedName name="solver_adj" localSheetId="14" hidden="1">'000xxx'!$E$10:$G$10</definedName>
    <definedName name="solver_adj" localSheetId="13" hidden="1">'001xxx'!$E$10:$G$10</definedName>
    <definedName name="solver_adj" localSheetId="4" hidden="1">'00xxxx'!$D$10:$G$10</definedName>
    <definedName name="solver_adj" localSheetId="5" hidden="1">'01xxxx'!$D$10:$G$10</definedName>
    <definedName name="solver_adj" localSheetId="2" hidden="1">'0xxxxx'!$C$10:$G$10</definedName>
    <definedName name="solver_adj" localSheetId="6" hidden="1">'10xxxx'!$D$10:$G$10</definedName>
    <definedName name="solver_adj" localSheetId="12" hidden="1">'110010'!$G$10</definedName>
    <definedName name="solver_adj" localSheetId="10" hidden="1">'1100xx'!$F$10:$G$10</definedName>
    <definedName name="solver_adj" localSheetId="11" hidden="1">'1101xx'!$F$10:$G$10</definedName>
    <definedName name="solver_adj" localSheetId="8" hidden="1">'110xxx'!$E$10:$G$10</definedName>
    <definedName name="solver_adj" localSheetId="9" hidden="1">'111xxx'!$E$10:$G$10</definedName>
    <definedName name="solver_adj" localSheetId="7" hidden="1">'11xxxx'!$D$10:$G$10</definedName>
    <definedName name="solver_adj" localSheetId="3" hidden="1">'1xxxxx'!$C$10:$G$10</definedName>
    <definedName name="solver_adj" localSheetId="1" hidden="1">Original!$B$10:$G$10</definedName>
    <definedName name="solver_cvg" localSheetId="15" hidden="1">0.0001</definedName>
    <definedName name="solver_cvg" localSheetId="18" hidden="1">0.0001</definedName>
    <definedName name="solver_cvg" localSheetId="17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4" hidden="1">0.0001</definedName>
    <definedName name="solver_cvg" localSheetId="5" hidden="1">0.0001</definedName>
    <definedName name="solver_cvg" localSheetId="2" hidden="1">0.0001</definedName>
    <definedName name="solver_cvg" localSheetId="6" hidden="1">0.0001</definedName>
    <definedName name="solver_cvg" localSheetId="12" hidden="1">0.0001</definedName>
    <definedName name="solver_cvg" localSheetId="10" hidden="1">0.0001</definedName>
    <definedName name="solver_cvg" localSheetId="11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3" hidden="1">0.0001</definedName>
    <definedName name="solver_cvg" localSheetId="1" hidden="1">0.0001</definedName>
    <definedName name="solver_drv" localSheetId="15" hidden="1">1</definedName>
    <definedName name="solver_drv" localSheetId="18" hidden="1">1</definedName>
    <definedName name="solver_drv" localSheetId="17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6" hidden="1">1</definedName>
    <definedName name="solver_drv" localSheetId="12" hidden="1">1</definedName>
    <definedName name="solver_drv" localSheetId="10" hidden="1">1</definedName>
    <definedName name="solver_drv" localSheetId="11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3" hidden="1">1</definedName>
    <definedName name="solver_drv" localSheetId="1" hidden="1">1</definedName>
    <definedName name="solver_eng" localSheetId="15" hidden="1">2</definedName>
    <definedName name="solver_eng" localSheetId="18" hidden="1">2</definedName>
    <definedName name="solver_eng" localSheetId="17" hidden="1">2</definedName>
    <definedName name="solver_eng" localSheetId="16" hidden="1">2</definedName>
    <definedName name="solver_eng" localSheetId="14" hidden="1">2</definedName>
    <definedName name="solver_eng" localSheetId="13" hidden="1">2</definedName>
    <definedName name="solver_eng" localSheetId="4" hidden="1">2</definedName>
    <definedName name="solver_eng" localSheetId="5" hidden="1">2</definedName>
    <definedName name="solver_eng" localSheetId="2" hidden="1">2</definedName>
    <definedName name="solver_eng" localSheetId="6" hidden="1">2</definedName>
    <definedName name="solver_eng" localSheetId="12" hidden="1">2</definedName>
    <definedName name="solver_eng" localSheetId="10" hidden="1">2</definedName>
    <definedName name="solver_eng" localSheetId="11" hidden="1">2</definedName>
    <definedName name="solver_eng" localSheetId="8" hidden="1">2</definedName>
    <definedName name="solver_eng" localSheetId="9" hidden="1">2</definedName>
    <definedName name="solver_eng" localSheetId="7" hidden="1">2</definedName>
    <definedName name="solver_eng" localSheetId="3" hidden="1">2</definedName>
    <definedName name="solver_eng" localSheetId="1" hidden="1">2</definedName>
    <definedName name="solver_est" localSheetId="15" hidden="1">1</definedName>
    <definedName name="solver_est" localSheetId="18" hidden="1">1</definedName>
    <definedName name="solver_est" localSheetId="17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6" hidden="1">1</definedName>
    <definedName name="solver_est" localSheetId="12" hidden="1">1</definedName>
    <definedName name="solver_est" localSheetId="10" hidden="1">1</definedName>
    <definedName name="solver_est" localSheetId="11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3" hidden="1">1</definedName>
    <definedName name="solver_est" localSheetId="1" hidden="1">1</definedName>
    <definedName name="solver_itr" localSheetId="15" hidden="1">2147483647</definedName>
    <definedName name="solver_itr" localSheetId="18" hidden="1">2147483647</definedName>
    <definedName name="solver_itr" localSheetId="17" hidden="1">2147483647</definedName>
    <definedName name="solver_itr" localSheetId="16" hidden="1">2147483647</definedName>
    <definedName name="solver_itr" localSheetId="14" hidden="1">2147483647</definedName>
    <definedName name="solver_itr" localSheetId="13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6" hidden="1">2147483647</definedName>
    <definedName name="solver_itr" localSheetId="12" hidden="1">2147483647</definedName>
    <definedName name="solver_itr" localSheetId="10" hidden="1">2147483647</definedName>
    <definedName name="solver_itr" localSheetId="11" hidden="1">2147483647</definedName>
    <definedName name="solver_itr" localSheetId="8" hidden="1">2147483647</definedName>
    <definedName name="solver_itr" localSheetId="9" hidden="1">2147483647</definedName>
    <definedName name="solver_itr" localSheetId="7" hidden="1">2147483647</definedName>
    <definedName name="solver_itr" localSheetId="3" hidden="1">2147483647</definedName>
    <definedName name="solver_itr" localSheetId="1" hidden="1">2147483647</definedName>
    <definedName name="solver_lhs1" localSheetId="15" hidden="1">'0000xx'!$B$10:$G$10</definedName>
    <definedName name="solver_lhs1" localSheetId="18" hidden="1">'000111'!$B$10:$G$10</definedName>
    <definedName name="solver_lhs1" localSheetId="17" hidden="1">'00011x '!$B$10:$G$10</definedName>
    <definedName name="solver_lhs1" localSheetId="16" hidden="1">'0001xx'!$B$10:$G$10</definedName>
    <definedName name="solver_lhs1" localSheetId="14" hidden="1">'000xxx'!$B$10:$G$10</definedName>
    <definedName name="solver_lhs1" localSheetId="13" hidden="1">'001xxx'!$B$10:$G$10</definedName>
    <definedName name="solver_lhs1" localSheetId="4" hidden="1">'00xxxx'!$B$10:$G$10</definedName>
    <definedName name="solver_lhs1" localSheetId="5" hidden="1">'01xxxx'!$B$10:$G$10</definedName>
    <definedName name="solver_lhs1" localSheetId="2" hidden="1">'0xxxxx'!$B$10:$G$10</definedName>
    <definedName name="solver_lhs1" localSheetId="6" hidden="1">'10xxxx'!$B$10:$G$10</definedName>
    <definedName name="solver_lhs1" localSheetId="12" hidden="1">'110010'!$B$10:$G$10</definedName>
    <definedName name="solver_lhs1" localSheetId="10" hidden="1">'1100xx'!$B$10:$G$10</definedName>
    <definedName name="solver_lhs1" localSheetId="11" hidden="1">'1101xx'!$B$10:$G$10</definedName>
    <definedName name="solver_lhs1" localSheetId="8" hidden="1">'110xxx'!$B$10:$G$10</definedName>
    <definedName name="solver_lhs1" localSheetId="9" hidden="1">'111xxx'!$B$10:$G$10</definedName>
    <definedName name="solver_lhs1" localSheetId="7" hidden="1">'11xxxx'!$B$10:$G$10</definedName>
    <definedName name="solver_lhs1" localSheetId="3" hidden="1">'1xxxxx'!$B$10:$G$10</definedName>
    <definedName name="solver_lhs1" localSheetId="1" hidden="1">Original!$B$10:$G$10</definedName>
    <definedName name="solver_lhs2" localSheetId="15" hidden="1">'0000xx'!$B$10:$G$10</definedName>
    <definedName name="solver_lhs2" localSheetId="18" hidden="1">'000111'!$B$10:$G$10</definedName>
    <definedName name="solver_lhs2" localSheetId="17" hidden="1">'00011x '!$B$10:$G$10</definedName>
    <definedName name="solver_lhs2" localSheetId="16" hidden="1">'0001xx'!$B$10:$G$10</definedName>
    <definedName name="solver_lhs2" localSheetId="14" hidden="1">'000xxx'!$B$10:$G$10</definedName>
    <definedName name="solver_lhs2" localSheetId="13" hidden="1">'001xxx'!$B$10:$G$10</definedName>
    <definedName name="solver_lhs2" localSheetId="4" hidden="1">'00xxxx'!$B$10:$G$10</definedName>
    <definedName name="solver_lhs2" localSheetId="5" hidden="1">'01xxxx'!$B$10:$G$10</definedName>
    <definedName name="solver_lhs2" localSheetId="2" hidden="1">'0xxxxx'!$B$10:$G$10</definedName>
    <definedName name="solver_lhs2" localSheetId="6" hidden="1">'10xxxx'!$B$10:$G$10</definedName>
    <definedName name="solver_lhs2" localSheetId="12" hidden="1">'110010'!$B$10:$G$10</definedName>
    <definedName name="solver_lhs2" localSheetId="10" hidden="1">'1100xx'!$B$10:$G$10</definedName>
    <definedName name="solver_lhs2" localSheetId="11" hidden="1">'1101xx'!$B$10:$G$10</definedName>
    <definedName name="solver_lhs2" localSheetId="8" hidden="1">'110xxx'!$B$10:$G$10</definedName>
    <definedName name="solver_lhs2" localSheetId="9" hidden="1">'111xxx'!$B$10:$G$10</definedName>
    <definedName name="solver_lhs2" localSheetId="7" hidden="1">'11xxxx'!$B$10:$G$10</definedName>
    <definedName name="solver_lhs2" localSheetId="3" hidden="1">'1xxxxx'!$B$10:$G$10</definedName>
    <definedName name="solver_lhs2" localSheetId="1" hidden="1">Original!$B$10:$G$10</definedName>
    <definedName name="solver_lhs3" localSheetId="15" hidden="1">'0000xx'!$H$13:$H$18</definedName>
    <definedName name="solver_lhs3" localSheetId="18" hidden="1">'000111'!$H$13:$H$18</definedName>
    <definedName name="solver_lhs3" localSheetId="17" hidden="1">'00011x '!$H$13:$H$18</definedName>
    <definedName name="solver_lhs3" localSheetId="16" hidden="1">'0001xx'!$H$13:$H$18</definedName>
    <definedName name="solver_lhs3" localSheetId="14" hidden="1">'000xxx'!$H$13:$H$18</definedName>
    <definedName name="solver_lhs3" localSheetId="13" hidden="1">'001xxx'!$H$13:$H$18</definedName>
    <definedName name="solver_lhs3" localSheetId="4" hidden="1">'00xxxx'!$H$13:$H$18</definedName>
    <definedName name="solver_lhs3" localSheetId="5" hidden="1">'01xxxx'!$H$13:$H$18</definedName>
    <definedName name="solver_lhs3" localSheetId="2" hidden="1">'0xxxxx'!$H$13:$H$18</definedName>
    <definedName name="solver_lhs3" localSheetId="6" hidden="1">'10xxxx'!$H$13:$H$18</definedName>
    <definedName name="solver_lhs3" localSheetId="12" hidden="1">'110010'!$H$13:$H$18</definedName>
    <definedName name="solver_lhs3" localSheetId="10" hidden="1">'1100xx'!$H$13:$H$18</definedName>
    <definedName name="solver_lhs3" localSheetId="11" hidden="1">'1101xx'!$H$13:$H$18</definedName>
    <definedName name="solver_lhs3" localSheetId="8" hidden="1">'110xxx'!$H$13:$H$18</definedName>
    <definedName name="solver_lhs3" localSheetId="9" hidden="1">'111xxx'!$H$13:$H$18</definedName>
    <definedName name="solver_lhs3" localSheetId="7" hidden="1">'11xxxx'!$H$13:$H$18</definedName>
    <definedName name="solver_lhs3" localSheetId="3" hidden="1">'1xxxxx'!$H$13:$H$18</definedName>
    <definedName name="solver_lhs3" localSheetId="1" hidden="1">Original!$H$13:$H$18</definedName>
    <definedName name="solver_mip" localSheetId="15" hidden="1">2147483647</definedName>
    <definedName name="solver_mip" localSheetId="18" hidden="1">2147483647</definedName>
    <definedName name="solver_mip" localSheetId="17" hidden="1">2147483647</definedName>
    <definedName name="solver_mip" localSheetId="16" hidden="1">2147483647</definedName>
    <definedName name="solver_mip" localSheetId="14" hidden="1">2147483647</definedName>
    <definedName name="solver_mip" localSheetId="13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6" hidden="1">2147483647</definedName>
    <definedName name="solver_mip" localSheetId="12" hidden="1">2147483647</definedName>
    <definedName name="solver_mip" localSheetId="10" hidden="1">2147483647</definedName>
    <definedName name="solver_mip" localSheetId="11" hidden="1">2147483647</definedName>
    <definedName name="solver_mip" localSheetId="8" hidden="1">2147483647</definedName>
    <definedName name="solver_mip" localSheetId="9" hidden="1">2147483647</definedName>
    <definedName name="solver_mip" localSheetId="7" hidden="1">2147483647</definedName>
    <definedName name="solver_mip" localSheetId="3" hidden="1">2147483647</definedName>
    <definedName name="solver_mip" localSheetId="1" hidden="1">2147483647</definedName>
    <definedName name="solver_mni" localSheetId="15" hidden="1">30</definedName>
    <definedName name="solver_mni" localSheetId="18" hidden="1">30</definedName>
    <definedName name="solver_mni" localSheetId="17" hidden="1">30</definedName>
    <definedName name="solver_mni" localSheetId="16" hidden="1">30</definedName>
    <definedName name="solver_mni" localSheetId="14" hidden="1">30</definedName>
    <definedName name="solver_mni" localSheetId="13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6" hidden="1">30</definedName>
    <definedName name="solver_mni" localSheetId="12" hidden="1">30</definedName>
    <definedName name="solver_mni" localSheetId="10" hidden="1">30</definedName>
    <definedName name="solver_mni" localSheetId="11" hidden="1">30</definedName>
    <definedName name="solver_mni" localSheetId="8" hidden="1">30</definedName>
    <definedName name="solver_mni" localSheetId="9" hidden="1">30</definedName>
    <definedName name="solver_mni" localSheetId="7" hidden="1">30</definedName>
    <definedName name="solver_mni" localSheetId="3" hidden="1">30</definedName>
    <definedName name="solver_mni" localSheetId="1" hidden="1">30</definedName>
    <definedName name="solver_mrt" localSheetId="15" hidden="1">0.075</definedName>
    <definedName name="solver_mrt" localSheetId="18" hidden="1">0.075</definedName>
    <definedName name="solver_mrt" localSheetId="17" hidden="1">0.075</definedName>
    <definedName name="solver_mrt" localSheetId="16" hidden="1">0.075</definedName>
    <definedName name="solver_mrt" localSheetId="14" hidden="1">0.075</definedName>
    <definedName name="solver_mrt" localSheetId="13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6" hidden="1">0.075</definedName>
    <definedName name="solver_mrt" localSheetId="12" hidden="1">0.075</definedName>
    <definedName name="solver_mrt" localSheetId="10" hidden="1">0.075</definedName>
    <definedName name="solver_mrt" localSheetId="11" hidden="1">0.075</definedName>
    <definedName name="solver_mrt" localSheetId="8" hidden="1">0.075</definedName>
    <definedName name="solver_mrt" localSheetId="9" hidden="1">0.075</definedName>
    <definedName name="solver_mrt" localSheetId="7" hidden="1">0.075</definedName>
    <definedName name="solver_mrt" localSheetId="3" hidden="1">0.075</definedName>
    <definedName name="solver_mrt" localSheetId="1" hidden="1">0.075</definedName>
    <definedName name="solver_msl" localSheetId="15" hidden="1">2</definedName>
    <definedName name="solver_msl" localSheetId="18" hidden="1">2</definedName>
    <definedName name="solver_msl" localSheetId="17" hidden="1">2</definedName>
    <definedName name="solver_msl" localSheetId="16" hidden="1">2</definedName>
    <definedName name="solver_msl" localSheetId="14" hidden="1">2</definedName>
    <definedName name="solver_msl" localSheetId="13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6" hidden="1">2</definedName>
    <definedName name="solver_msl" localSheetId="12" hidden="1">2</definedName>
    <definedName name="solver_msl" localSheetId="10" hidden="1">2</definedName>
    <definedName name="solver_msl" localSheetId="11" hidden="1">2</definedName>
    <definedName name="solver_msl" localSheetId="8" hidden="1">2</definedName>
    <definedName name="solver_msl" localSheetId="9" hidden="1">2</definedName>
    <definedName name="solver_msl" localSheetId="7" hidden="1">2</definedName>
    <definedName name="solver_msl" localSheetId="3" hidden="1">2</definedName>
    <definedName name="solver_msl" localSheetId="1" hidden="1">2</definedName>
    <definedName name="solver_neg" localSheetId="15" hidden="1">1</definedName>
    <definedName name="solver_neg" localSheetId="18" hidden="1">1</definedName>
    <definedName name="solver_neg" localSheetId="17" hidden="1">1</definedName>
    <definedName name="solver_neg" localSheetId="16" hidden="1">1</definedName>
    <definedName name="solver_neg" localSheetId="14" hidden="1">1</definedName>
    <definedName name="solver_neg" localSheetId="13" hidden="1">1</definedName>
    <definedName name="solver_neg" localSheetId="4" hidden="1">1</definedName>
    <definedName name="solver_neg" localSheetId="5" hidden="1">1</definedName>
    <definedName name="solver_neg" localSheetId="2" hidden="1">1</definedName>
    <definedName name="solver_neg" localSheetId="6" hidden="1">1</definedName>
    <definedName name="solver_neg" localSheetId="12" hidden="1">1</definedName>
    <definedName name="solver_neg" localSheetId="10" hidden="1">1</definedName>
    <definedName name="solver_neg" localSheetId="11" hidden="1">1</definedName>
    <definedName name="solver_neg" localSheetId="8" hidden="1">1</definedName>
    <definedName name="solver_neg" localSheetId="9" hidden="1">1</definedName>
    <definedName name="solver_neg" localSheetId="7" hidden="1">1</definedName>
    <definedName name="solver_neg" localSheetId="3" hidden="1">1</definedName>
    <definedName name="solver_neg" localSheetId="1" hidden="1">1</definedName>
    <definedName name="solver_nod" localSheetId="15" hidden="1">2147483647</definedName>
    <definedName name="solver_nod" localSheetId="18" hidden="1">2147483647</definedName>
    <definedName name="solver_nod" localSheetId="17" hidden="1">2147483647</definedName>
    <definedName name="solver_nod" localSheetId="16" hidden="1">2147483647</definedName>
    <definedName name="solver_nod" localSheetId="14" hidden="1">2147483647</definedName>
    <definedName name="solver_nod" localSheetId="13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6" hidden="1">2147483647</definedName>
    <definedName name="solver_nod" localSheetId="12" hidden="1">2147483647</definedName>
    <definedName name="solver_nod" localSheetId="10" hidden="1">2147483647</definedName>
    <definedName name="solver_nod" localSheetId="11" hidden="1">2147483647</definedName>
    <definedName name="solver_nod" localSheetId="8" hidden="1">2147483647</definedName>
    <definedName name="solver_nod" localSheetId="9" hidden="1">2147483647</definedName>
    <definedName name="solver_nod" localSheetId="7" hidden="1">2147483647</definedName>
    <definedName name="solver_nod" localSheetId="3" hidden="1">2147483647</definedName>
    <definedName name="solver_nod" localSheetId="1" hidden="1">2147483647</definedName>
    <definedName name="solver_num" localSheetId="15" hidden="1">3</definedName>
    <definedName name="solver_num" localSheetId="18" hidden="1">3</definedName>
    <definedName name="solver_num" localSheetId="17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4" hidden="1">3</definedName>
    <definedName name="solver_num" localSheetId="5" hidden="1">3</definedName>
    <definedName name="solver_num" localSheetId="2" hidden="1">3</definedName>
    <definedName name="solver_num" localSheetId="6" hidden="1">3</definedName>
    <definedName name="solver_num" localSheetId="12" hidden="1">3</definedName>
    <definedName name="solver_num" localSheetId="10" hidden="1">3</definedName>
    <definedName name="solver_num" localSheetId="11" hidden="1">3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3" hidden="1">3</definedName>
    <definedName name="solver_num" localSheetId="1" hidden="1">3</definedName>
    <definedName name="solver_nwt" localSheetId="15" hidden="1">1</definedName>
    <definedName name="solver_nwt" localSheetId="18" hidden="1">1</definedName>
    <definedName name="solver_nwt" localSheetId="17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6" hidden="1">1</definedName>
    <definedName name="solver_nwt" localSheetId="12" hidden="1">1</definedName>
    <definedName name="solver_nwt" localSheetId="10" hidden="1">1</definedName>
    <definedName name="solver_nwt" localSheetId="11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3" hidden="1">1</definedName>
    <definedName name="solver_nwt" localSheetId="1" hidden="1">1</definedName>
    <definedName name="solver_opt" localSheetId="15" hidden="1">'0000xx'!$B$1</definedName>
    <definedName name="solver_opt" localSheetId="18" hidden="1">'000111'!$B$1</definedName>
    <definedName name="solver_opt" localSheetId="17" hidden="1">'00011x '!$B$1</definedName>
    <definedName name="solver_opt" localSheetId="16" hidden="1">'0001xx'!$B$1</definedName>
    <definedName name="solver_opt" localSheetId="14" hidden="1">'000xxx'!$B$1</definedName>
    <definedName name="solver_opt" localSheetId="13" hidden="1">'001xxx'!$B$1</definedName>
    <definedName name="solver_opt" localSheetId="4" hidden="1">'00xxxx'!$B$1</definedName>
    <definedName name="solver_opt" localSheetId="5" hidden="1">'01xxxx'!$B$1</definedName>
    <definedName name="solver_opt" localSheetId="2" hidden="1">'0xxxxx'!$B$1</definedName>
    <definedName name="solver_opt" localSheetId="6" hidden="1">'10xxxx'!$B$1</definedName>
    <definedName name="solver_opt" localSheetId="12" hidden="1">'110010'!$B$1</definedName>
    <definedName name="solver_opt" localSheetId="10" hidden="1">'1100xx'!$B$1</definedName>
    <definedName name="solver_opt" localSheetId="11" hidden="1">'1101xx'!$B$1</definedName>
    <definedName name="solver_opt" localSheetId="8" hidden="1">'110xxx'!$B$1</definedName>
    <definedName name="solver_opt" localSheetId="9" hidden="1">'111xxx'!$B$1</definedName>
    <definedName name="solver_opt" localSheetId="7" hidden="1">'11xxxx'!$B$1</definedName>
    <definedName name="solver_opt" localSheetId="3" hidden="1">'1xxxxx'!$B$1</definedName>
    <definedName name="solver_opt" localSheetId="1" hidden="1">Original!$B$1</definedName>
    <definedName name="solver_pre" localSheetId="15" hidden="1">0.000001</definedName>
    <definedName name="solver_pre" localSheetId="18" hidden="1">0.000001</definedName>
    <definedName name="solver_pre" localSheetId="17" hidden="1">0.000001</definedName>
    <definedName name="solver_pre" localSheetId="16" hidden="1">0.000001</definedName>
    <definedName name="solver_pre" localSheetId="14" hidden="1">0.000001</definedName>
    <definedName name="solver_pre" localSheetId="13" hidden="1">0.000001</definedName>
    <definedName name="solver_pre" localSheetId="4" hidden="1">0.000001</definedName>
    <definedName name="solver_pre" localSheetId="5" hidden="1">0.000001</definedName>
    <definedName name="solver_pre" localSheetId="2" hidden="1">0.000001</definedName>
    <definedName name="solver_pre" localSheetId="6" hidden="1">0.000001</definedName>
    <definedName name="solver_pre" localSheetId="12" hidden="1">0.000001</definedName>
    <definedName name="solver_pre" localSheetId="10" hidden="1">0.000001</definedName>
    <definedName name="solver_pre" localSheetId="11" hidden="1">0.000001</definedName>
    <definedName name="solver_pre" localSheetId="8" hidden="1">0.000001</definedName>
    <definedName name="solver_pre" localSheetId="9" hidden="1">0.000001</definedName>
    <definedName name="solver_pre" localSheetId="7" hidden="1">0.000001</definedName>
    <definedName name="solver_pre" localSheetId="3" hidden="1">0.000001</definedName>
    <definedName name="solver_pre" localSheetId="1" hidden="1">0.000001</definedName>
    <definedName name="solver_rbv" localSheetId="15" hidden="1">2</definedName>
    <definedName name="solver_rbv" localSheetId="18" hidden="1">2</definedName>
    <definedName name="solver_rbv" localSheetId="17" hidden="1">2</definedName>
    <definedName name="solver_rbv" localSheetId="16" hidden="1">2</definedName>
    <definedName name="solver_rbv" localSheetId="14" hidden="1">2</definedName>
    <definedName name="solver_rbv" localSheetId="13" hidden="1">2</definedName>
    <definedName name="solver_rbv" localSheetId="4" hidden="1">2</definedName>
    <definedName name="solver_rbv" localSheetId="5" hidden="1">2</definedName>
    <definedName name="solver_rbv" localSheetId="2" hidden="1">2</definedName>
    <definedName name="solver_rbv" localSheetId="6" hidden="1">2</definedName>
    <definedName name="solver_rbv" localSheetId="12" hidden="1">2</definedName>
    <definedName name="solver_rbv" localSheetId="10" hidden="1">2</definedName>
    <definedName name="solver_rbv" localSheetId="11" hidden="1">2</definedName>
    <definedName name="solver_rbv" localSheetId="8" hidden="1">2</definedName>
    <definedName name="solver_rbv" localSheetId="9" hidden="1">2</definedName>
    <definedName name="solver_rbv" localSheetId="7" hidden="1">2</definedName>
    <definedName name="solver_rbv" localSheetId="3" hidden="1">2</definedName>
    <definedName name="solver_rbv" localSheetId="1" hidden="1">2</definedName>
    <definedName name="solver_rel1" localSheetId="15" hidden="1">1</definedName>
    <definedName name="solver_rel1" localSheetId="18" hidden="1">1</definedName>
    <definedName name="solver_rel1" localSheetId="17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4" hidden="1">1</definedName>
    <definedName name="solver_rel1" localSheetId="5" hidden="1">1</definedName>
    <definedName name="solver_rel1" localSheetId="2" hidden="1">1</definedName>
    <definedName name="solver_rel1" localSheetId="6" hidden="1">1</definedName>
    <definedName name="solver_rel1" localSheetId="12" hidden="1">1</definedName>
    <definedName name="solver_rel1" localSheetId="10" hidden="1">1</definedName>
    <definedName name="solver_rel1" localSheetId="11" hidden="1">1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3" hidden="1">1</definedName>
    <definedName name="solver_rel1" localSheetId="1" hidden="1">1</definedName>
    <definedName name="solver_rel2" localSheetId="15" hidden="1">3</definedName>
    <definedName name="solver_rel2" localSheetId="18" hidden="1">3</definedName>
    <definedName name="solver_rel2" localSheetId="17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4" hidden="1">3</definedName>
    <definedName name="solver_rel2" localSheetId="5" hidden="1">3</definedName>
    <definedName name="solver_rel2" localSheetId="2" hidden="1">3</definedName>
    <definedName name="solver_rel2" localSheetId="6" hidden="1">3</definedName>
    <definedName name="solver_rel2" localSheetId="12" hidden="1">3</definedName>
    <definedName name="solver_rel2" localSheetId="10" hidden="1">3</definedName>
    <definedName name="solver_rel2" localSheetId="11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3" hidden="1">3</definedName>
    <definedName name="solver_rel2" localSheetId="1" hidden="1">3</definedName>
    <definedName name="solver_rel3" localSheetId="15" hidden="1">1</definedName>
    <definedName name="solver_rel3" localSheetId="18" hidden="1">1</definedName>
    <definedName name="solver_rel3" localSheetId="17" hidden="1">1</definedName>
    <definedName name="solver_rel3" localSheetId="16" hidden="1">1</definedName>
    <definedName name="solver_rel3" localSheetId="14" hidden="1">1</definedName>
    <definedName name="solver_rel3" localSheetId="13" hidden="1">1</definedName>
    <definedName name="solver_rel3" localSheetId="4" hidden="1">1</definedName>
    <definedName name="solver_rel3" localSheetId="5" hidden="1">1</definedName>
    <definedName name="solver_rel3" localSheetId="2" hidden="1">1</definedName>
    <definedName name="solver_rel3" localSheetId="6" hidden="1">1</definedName>
    <definedName name="solver_rel3" localSheetId="12" hidden="1">1</definedName>
    <definedName name="solver_rel3" localSheetId="10" hidden="1">1</definedName>
    <definedName name="solver_rel3" localSheetId="11" hidden="1">1</definedName>
    <definedName name="solver_rel3" localSheetId="8" hidden="1">1</definedName>
    <definedName name="solver_rel3" localSheetId="9" hidden="1">1</definedName>
    <definedName name="solver_rel3" localSheetId="7" hidden="1">1</definedName>
    <definedName name="solver_rel3" localSheetId="3" hidden="1">1</definedName>
    <definedName name="solver_rel3" localSheetId="1" hidden="1">1</definedName>
    <definedName name="solver_rhs1" localSheetId="15" hidden="1">1</definedName>
    <definedName name="solver_rhs1" localSheetId="18" hidden="1">1</definedName>
    <definedName name="solver_rhs1" localSheetId="17" hidden="1">1</definedName>
    <definedName name="solver_rhs1" localSheetId="16" hidden="1">1</definedName>
    <definedName name="solver_rhs1" localSheetId="14" hidden="1">1</definedName>
    <definedName name="solver_rhs1" localSheetId="13" hidden="1">1</definedName>
    <definedName name="solver_rhs1" localSheetId="4" hidden="1">1</definedName>
    <definedName name="solver_rhs1" localSheetId="5" hidden="1">1</definedName>
    <definedName name="solver_rhs1" localSheetId="2" hidden="1">1</definedName>
    <definedName name="solver_rhs1" localSheetId="6" hidden="1">1</definedName>
    <definedName name="solver_rhs1" localSheetId="12" hidden="1">1</definedName>
    <definedName name="solver_rhs1" localSheetId="10" hidden="1">1</definedName>
    <definedName name="solver_rhs1" localSheetId="11" hidden="1">1</definedName>
    <definedName name="solver_rhs1" localSheetId="8" hidden="1">1</definedName>
    <definedName name="solver_rhs1" localSheetId="9" hidden="1">1</definedName>
    <definedName name="solver_rhs1" localSheetId="7" hidden="1">1</definedName>
    <definedName name="solver_rhs1" localSheetId="3" hidden="1">1</definedName>
    <definedName name="solver_rhs1" localSheetId="1" hidden="1">1</definedName>
    <definedName name="solver_rhs2" localSheetId="15" hidden="1">0</definedName>
    <definedName name="solver_rhs2" localSheetId="18" hidden="1">0</definedName>
    <definedName name="solver_rhs2" localSheetId="17" hidden="1">0</definedName>
    <definedName name="solver_rhs2" localSheetId="16" hidden="1">0</definedName>
    <definedName name="solver_rhs2" localSheetId="14" hidden="1">0</definedName>
    <definedName name="solver_rhs2" localSheetId="13" hidden="1">0</definedName>
    <definedName name="solver_rhs2" localSheetId="4" hidden="1">0</definedName>
    <definedName name="solver_rhs2" localSheetId="5" hidden="1">0</definedName>
    <definedName name="solver_rhs2" localSheetId="2" hidden="1">0</definedName>
    <definedName name="solver_rhs2" localSheetId="6" hidden="1">0</definedName>
    <definedName name="solver_rhs2" localSheetId="12" hidden="1">0</definedName>
    <definedName name="solver_rhs2" localSheetId="10" hidden="1">0</definedName>
    <definedName name="solver_rhs2" localSheetId="11" hidden="1">0</definedName>
    <definedName name="solver_rhs2" localSheetId="8" hidden="1">0</definedName>
    <definedName name="solver_rhs2" localSheetId="9" hidden="1">0</definedName>
    <definedName name="solver_rhs2" localSheetId="7" hidden="1">0</definedName>
    <definedName name="solver_rhs2" localSheetId="3" hidden="1">0</definedName>
    <definedName name="solver_rhs2" localSheetId="1" hidden="1">0</definedName>
    <definedName name="solver_rhs3" localSheetId="15" hidden="1">'0000xx'!$J$13:$J$18</definedName>
    <definedName name="solver_rhs3" localSheetId="18" hidden="1">'000111'!$J$13:$J$18</definedName>
    <definedName name="solver_rhs3" localSheetId="17" hidden="1">'00011x '!$J$13:$J$18</definedName>
    <definedName name="solver_rhs3" localSheetId="16" hidden="1">'0001xx'!$J$13:$J$18</definedName>
    <definedName name="solver_rhs3" localSheetId="14" hidden="1">'000xxx'!$J$13:$J$18</definedName>
    <definedName name="solver_rhs3" localSheetId="13" hidden="1">'001xxx'!$J$13:$J$18</definedName>
    <definedName name="solver_rhs3" localSheetId="4" hidden="1">'00xxxx'!$J$13:$J$18</definedName>
    <definedName name="solver_rhs3" localSheetId="5" hidden="1">'01xxxx'!$J$13:$J$18</definedName>
    <definedName name="solver_rhs3" localSheetId="2" hidden="1">'0xxxxx'!$J$13:$J$18</definedName>
    <definedName name="solver_rhs3" localSheetId="6" hidden="1">'10xxxx'!$J$13:$J$18</definedName>
    <definedName name="solver_rhs3" localSheetId="12" hidden="1">'110010'!$J$13:$J$18</definedName>
    <definedName name="solver_rhs3" localSheetId="10" hidden="1">'1100xx'!$J$13:$J$18</definedName>
    <definedName name="solver_rhs3" localSheetId="11" hidden="1">'1101xx'!$J$13:$J$18</definedName>
    <definedName name="solver_rhs3" localSheetId="8" hidden="1">'110xxx'!$J$13:$J$18</definedName>
    <definedName name="solver_rhs3" localSheetId="9" hidden="1">'111xxx'!$J$13:$J$18</definedName>
    <definedName name="solver_rhs3" localSheetId="7" hidden="1">'11xxxx'!$J$13:$J$18</definedName>
    <definedName name="solver_rhs3" localSheetId="3" hidden="1">'1xxxxx'!$J$13:$J$18</definedName>
    <definedName name="solver_rhs3" localSheetId="1" hidden="1">Original!$J$13:$J$18</definedName>
    <definedName name="solver_rlx" localSheetId="15" hidden="1">2</definedName>
    <definedName name="solver_rlx" localSheetId="18" hidden="1">2</definedName>
    <definedName name="solver_rlx" localSheetId="17" hidden="1">2</definedName>
    <definedName name="solver_rlx" localSheetId="16" hidden="1">2</definedName>
    <definedName name="solver_rlx" localSheetId="14" hidden="1">2</definedName>
    <definedName name="solver_rlx" localSheetId="13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6" hidden="1">2</definedName>
    <definedName name="solver_rlx" localSheetId="12" hidden="1">2</definedName>
    <definedName name="solver_rlx" localSheetId="10" hidden="1">2</definedName>
    <definedName name="solver_rlx" localSheetId="11" hidden="1">2</definedName>
    <definedName name="solver_rlx" localSheetId="8" hidden="1">2</definedName>
    <definedName name="solver_rlx" localSheetId="9" hidden="1">2</definedName>
    <definedName name="solver_rlx" localSheetId="7" hidden="1">2</definedName>
    <definedName name="solver_rlx" localSheetId="3" hidden="1">2</definedName>
    <definedName name="solver_rlx" localSheetId="1" hidden="1">2</definedName>
    <definedName name="solver_rsd" localSheetId="15" hidden="1">0</definedName>
    <definedName name="solver_rsd" localSheetId="18" hidden="1">0</definedName>
    <definedName name="solver_rsd" localSheetId="17" hidden="1">0</definedName>
    <definedName name="solver_rsd" localSheetId="16" hidden="1">0</definedName>
    <definedName name="solver_rsd" localSheetId="14" hidden="1">0</definedName>
    <definedName name="solver_rsd" localSheetId="13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6" hidden="1">0</definedName>
    <definedName name="solver_rsd" localSheetId="12" hidden="1">0</definedName>
    <definedName name="solver_rsd" localSheetId="10" hidden="1">0</definedName>
    <definedName name="solver_rsd" localSheetId="11" hidden="1">0</definedName>
    <definedName name="solver_rsd" localSheetId="8" hidden="1">0</definedName>
    <definedName name="solver_rsd" localSheetId="9" hidden="1">0</definedName>
    <definedName name="solver_rsd" localSheetId="7" hidden="1">0</definedName>
    <definedName name="solver_rsd" localSheetId="3" hidden="1">0</definedName>
    <definedName name="solver_rsd" localSheetId="1" hidden="1">0</definedName>
    <definedName name="solver_scl" localSheetId="15" hidden="1">2</definedName>
    <definedName name="solver_scl" localSheetId="18" hidden="1">2</definedName>
    <definedName name="solver_scl" localSheetId="17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4" hidden="1">2</definedName>
    <definedName name="solver_scl" localSheetId="5" hidden="1">2</definedName>
    <definedName name="solver_scl" localSheetId="2" hidden="1">2</definedName>
    <definedName name="solver_scl" localSheetId="6" hidden="1">2</definedName>
    <definedName name="solver_scl" localSheetId="12" hidden="1">2</definedName>
    <definedName name="solver_scl" localSheetId="10" hidden="1">2</definedName>
    <definedName name="solver_scl" localSheetId="11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3" hidden="1">2</definedName>
    <definedName name="solver_scl" localSheetId="1" hidden="1">2</definedName>
    <definedName name="solver_sho" localSheetId="15" hidden="1">2</definedName>
    <definedName name="solver_sho" localSheetId="18" hidden="1">2</definedName>
    <definedName name="solver_sho" localSheetId="17" hidden="1">2</definedName>
    <definedName name="solver_sho" localSheetId="16" hidden="1">2</definedName>
    <definedName name="solver_sho" localSheetId="14" hidden="1">2</definedName>
    <definedName name="solver_sho" localSheetId="13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6" hidden="1">2</definedName>
    <definedName name="solver_sho" localSheetId="12" hidden="1">2</definedName>
    <definedName name="solver_sho" localSheetId="10" hidden="1">2</definedName>
    <definedName name="solver_sho" localSheetId="11" hidden="1">2</definedName>
    <definedName name="solver_sho" localSheetId="8" hidden="1">2</definedName>
    <definedName name="solver_sho" localSheetId="9" hidden="1">2</definedName>
    <definedName name="solver_sho" localSheetId="7" hidden="1">2</definedName>
    <definedName name="solver_sho" localSheetId="3" hidden="1">2</definedName>
    <definedName name="solver_sho" localSheetId="1" hidden="1">2</definedName>
    <definedName name="solver_ssz" localSheetId="15" hidden="1">0</definedName>
    <definedName name="solver_ssz" localSheetId="18" hidden="1">0</definedName>
    <definedName name="solver_ssz" localSheetId="17" hidden="1">0</definedName>
    <definedName name="solver_ssz" localSheetId="16" hidden="1">0</definedName>
    <definedName name="solver_ssz" localSheetId="14" hidden="1">0</definedName>
    <definedName name="solver_ssz" localSheetId="13" hidden="1">0</definedName>
    <definedName name="solver_ssz" localSheetId="4" hidden="1">0</definedName>
    <definedName name="solver_ssz" localSheetId="5" hidden="1">0</definedName>
    <definedName name="solver_ssz" localSheetId="2" hidden="1">0</definedName>
    <definedName name="solver_ssz" localSheetId="6" hidden="1">0</definedName>
    <definedName name="solver_ssz" localSheetId="12" hidden="1">0</definedName>
    <definedName name="solver_ssz" localSheetId="10" hidden="1">0</definedName>
    <definedName name="solver_ssz" localSheetId="11" hidden="1">0</definedName>
    <definedName name="solver_ssz" localSheetId="8" hidden="1">0</definedName>
    <definedName name="solver_ssz" localSheetId="9" hidden="1">0</definedName>
    <definedName name="solver_ssz" localSheetId="7" hidden="1">0</definedName>
    <definedName name="solver_ssz" localSheetId="3" hidden="1">0</definedName>
    <definedName name="solver_ssz" localSheetId="1" hidden="1">0</definedName>
    <definedName name="solver_tim" localSheetId="15" hidden="1">2147483647</definedName>
    <definedName name="solver_tim" localSheetId="18" hidden="1">2147483647</definedName>
    <definedName name="solver_tim" localSheetId="17" hidden="1">2147483647</definedName>
    <definedName name="solver_tim" localSheetId="16" hidden="1">2147483647</definedName>
    <definedName name="solver_tim" localSheetId="14" hidden="1">2147483647</definedName>
    <definedName name="solver_tim" localSheetId="13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6" hidden="1">2147483647</definedName>
    <definedName name="solver_tim" localSheetId="12" hidden="1">2147483647</definedName>
    <definedName name="solver_tim" localSheetId="10" hidden="1">2147483647</definedName>
    <definedName name="solver_tim" localSheetId="11" hidden="1">2147483647</definedName>
    <definedName name="solver_tim" localSheetId="8" hidden="1">2147483647</definedName>
    <definedName name="solver_tim" localSheetId="9" hidden="1">2147483647</definedName>
    <definedName name="solver_tim" localSheetId="7" hidden="1">2147483647</definedName>
    <definedName name="solver_tim" localSheetId="3" hidden="1">2147483647</definedName>
    <definedName name="solver_tim" localSheetId="1" hidden="1">2147483647</definedName>
    <definedName name="solver_tol" localSheetId="15" hidden="1">0.01</definedName>
    <definedName name="solver_tol" localSheetId="18" hidden="1">0.01</definedName>
    <definedName name="solver_tol" localSheetId="17" hidden="1">0.01</definedName>
    <definedName name="solver_tol" localSheetId="16" hidden="1">0.01</definedName>
    <definedName name="solver_tol" localSheetId="14" hidden="1">0.01</definedName>
    <definedName name="solver_tol" localSheetId="13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6" hidden="1">0.01</definedName>
    <definedName name="solver_tol" localSheetId="12" hidden="1">0.01</definedName>
    <definedName name="solver_tol" localSheetId="10" hidden="1">0.01</definedName>
    <definedName name="solver_tol" localSheetId="11" hidden="1">0.01</definedName>
    <definedName name="solver_tol" localSheetId="8" hidden="1">0.01</definedName>
    <definedName name="solver_tol" localSheetId="9" hidden="1">0.01</definedName>
    <definedName name="solver_tol" localSheetId="7" hidden="1">0.01</definedName>
    <definedName name="solver_tol" localSheetId="3" hidden="1">0.01</definedName>
    <definedName name="solver_tol" localSheetId="1" hidden="1">0.01</definedName>
    <definedName name="solver_typ" localSheetId="15" hidden="1">1</definedName>
    <definedName name="solver_typ" localSheetId="18" hidden="1">1</definedName>
    <definedName name="solver_typ" localSheetId="17" hidden="1">1</definedName>
    <definedName name="solver_typ" localSheetId="16" hidden="1">1</definedName>
    <definedName name="solver_typ" localSheetId="14" hidden="1">1</definedName>
    <definedName name="solver_typ" localSheetId="13" hidden="1">1</definedName>
    <definedName name="solver_typ" localSheetId="4" hidden="1">1</definedName>
    <definedName name="solver_typ" localSheetId="5" hidden="1">1</definedName>
    <definedName name="solver_typ" localSheetId="2" hidden="1">1</definedName>
    <definedName name="solver_typ" localSheetId="6" hidden="1">1</definedName>
    <definedName name="solver_typ" localSheetId="12" hidden="1">1</definedName>
    <definedName name="solver_typ" localSheetId="10" hidden="1">1</definedName>
    <definedName name="solver_typ" localSheetId="11" hidden="1">1</definedName>
    <definedName name="solver_typ" localSheetId="8" hidden="1">1</definedName>
    <definedName name="solver_typ" localSheetId="9" hidden="1">1</definedName>
    <definedName name="solver_typ" localSheetId="7" hidden="1">1</definedName>
    <definedName name="solver_typ" localSheetId="3" hidden="1">1</definedName>
    <definedName name="solver_typ" localSheetId="1" hidden="1">1</definedName>
    <definedName name="solver_typ" localSheetId="0" hidden="1">2</definedName>
    <definedName name="solver_val" localSheetId="15" hidden="1">0</definedName>
    <definedName name="solver_val" localSheetId="18" hidden="1">0</definedName>
    <definedName name="solver_val" localSheetId="17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6" hidden="1">0</definedName>
    <definedName name="solver_val" localSheetId="12" hidden="1">0</definedName>
    <definedName name="solver_val" localSheetId="10" hidden="1">0</definedName>
    <definedName name="solver_val" localSheetId="11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3" hidden="1">0</definedName>
    <definedName name="solver_val" localSheetId="1" hidden="1">0</definedName>
    <definedName name="solver_ver" localSheetId="15" hidden="1">3</definedName>
    <definedName name="solver_ver" localSheetId="18" hidden="1">3</definedName>
    <definedName name="solver_ver" localSheetId="17" hidden="1">3</definedName>
    <definedName name="solver_ver" localSheetId="16" hidden="1">3</definedName>
    <definedName name="solver_ver" localSheetId="14" hidden="1">3</definedName>
    <definedName name="solver_ver" localSheetId="13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6" hidden="1">3</definedName>
    <definedName name="solver_ver" localSheetId="12" hidden="1">3</definedName>
    <definedName name="solver_ver" localSheetId="10" hidden="1">3</definedName>
    <definedName name="solver_ver" localSheetId="11" hidden="1">3</definedName>
    <definedName name="solver_ver" localSheetId="8" hidden="1">3</definedName>
    <definedName name="solver_ver" localSheetId="9" hidden="1">3</definedName>
    <definedName name="solver_ver" localSheetId="7" hidden="1">3</definedName>
    <definedName name="solver_ver" localSheetId="3" hidden="1">3</definedName>
    <definedName name="solver_ver" localSheetId="1" hidden="1">3</definedName>
    <definedName name="solver_ver" localSheetId="0" hidden="1">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3" l="1"/>
  <c r="K18" i="23" s="1"/>
  <c r="H17" i="23"/>
  <c r="K17" i="23" s="1"/>
  <c r="H16" i="23"/>
  <c r="K16" i="23" s="1"/>
  <c r="H15" i="23"/>
  <c r="K15" i="23" s="1"/>
  <c r="H14" i="23"/>
  <c r="K14" i="23" s="1"/>
  <c r="H13" i="23"/>
  <c r="K13" i="23" s="1"/>
  <c r="B3" i="23"/>
  <c r="B1" i="23"/>
  <c r="B2" i="23" s="1"/>
  <c r="H18" i="21"/>
  <c r="K18" i="21" s="1"/>
  <c r="H17" i="21"/>
  <c r="K17" i="21" s="1"/>
  <c r="H16" i="21"/>
  <c r="K16" i="21" s="1"/>
  <c r="H15" i="21"/>
  <c r="K15" i="21" s="1"/>
  <c r="H14" i="21"/>
  <c r="K14" i="21" s="1"/>
  <c r="H13" i="21"/>
  <c r="K13" i="21" s="1"/>
  <c r="B3" i="21"/>
  <c r="B1" i="21"/>
  <c r="B2" i="21" s="1"/>
  <c r="H18" i="20"/>
  <c r="K18" i="20" s="1"/>
  <c r="H17" i="20"/>
  <c r="K17" i="20" s="1"/>
  <c r="H16" i="20"/>
  <c r="K16" i="20" s="1"/>
  <c r="H15" i="20"/>
  <c r="K15" i="20" s="1"/>
  <c r="H14" i="20"/>
  <c r="K14" i="20" s="1"/>
  <c r="H13" i="20"/>
  <c r="K13" i="20" s="1"/>
  <c r="B3" i="20"/>
  <c r="B1" i="20"/>
  <c r="B2" i="20" s="1"/>
  <c r="H18" i="19"/>
  <c r="K18" i="19" s="1"/>
  <c r="H17" i="19"/>
  <c r="K17" i="19" s="1"/>
  <c r="H16" i="19"/>
  <c r="K16" i="19" s="1"/>
  <c r="H15" i="19"/>
  <c r="K15" i="19" s="1"/>
  <c r="H14" i="19"/>
  <c r="K14" i="19" s="1"/>
  <c r="H13" i="19"/>
  <c r="K13" i="19" s="1"/>
  <c r="B3" i="19"/>
  <c r="B1" i="19"/>
  <c r="B2" i="19" s="1"/>
  <c r="H18" i="18"/>
  <c r="K18" i="18" s="1"/>
  <c r="H17" i="18"/>
  <c r="K17" i="18" s="1"/>
  <c r="H16" i="18"/>
  <c r="K16" i="18" s="1"/>
  <c r="H15" i="18"/>
  <c r="K15" i="18" s="1"/>
  <c r="H14" i="18"/>
  <c r="K14" i="18" s="1"/>
  <c r="H13" i="18"/>
  <c r="K13" i="18" s="1"/>
  <c r="B3" i="18"/>
  <c r="B1" i="18"/>
  <c r="B2" i="18" s="1"/>
  <c r="H18" i="17"/>
  <c r="K18" i="17" s="1"/>
  <c r="H17" i="17"/>
  <c r="K17" i="17" s="1"/>
  <c r="H16" i="17"/>
  <c r="K16" i="17" s="1"/>
  <c r="H15" i="17"/>
  <c r="K15" i="17" s="1"/>
  <c r="H14" i="17"/>
  <c r="K14" i="17" s="1"/>
  <c r="H13" i="17"/>
  <c r="K13" i="17" s="1"/>
  <c r="B3" i="17"/>
  <c r="B1" i="17"/>
  <c r="B2" i="17" s="1"/>
  <c r="H18" i="16"/>
  <c r="K18" i="16" s="1"/>
  <c r="H17" i="16"/>
  <c r="K17" i="16" s="1"/>
  <c r="H16" i="16"/>
  <c r="K16" i="16" s="1"/>
  <c r="H15" i="16"/>
  <c r="K15" i="16" s="1"/>
  <c r="H14" i="16"/>
  <c r="K14" i="16" s="1"/>
  <c r="H13" i="16"/>
  <c r="K13" i="16" s="1"/>
  <c r="B3" i="16"/>
  <c r="B1" i="16"/>
  <c r="B2" i="16" s="1"/>
  <c r="H18" i="15"/>
  <c r="K18" i="15" s="1"/>
  <c r="H17" i="15"/>
  <c r="K17" i="15" s="1"/>
  <c r="H16" i="15"/>
  <c r="K16" i="15" s="1"/>
  <c r="H15" i="15"/>
  <c r="K15" i="15" s="1"/>
  <c r="H14" i="15"/>
  <c r="K14" i="15" s="1"/>
  <c r="H13" i="15"/>
  <c r="K13" i="15" s="1"/>
  <c r="B3" i="15"/>
  <c r="B1" i="15"/>
  <c r="B2" i="15" s="1"/>
  <c r="H18" i="14"/>
  <c r="K18" i="14" s="1"/>
  <c r="H17" i="14"/>
  <c r="K17" i="14" s="1"/>
  <c r="H16" i="14"/>
  <c r="K16" i="14" s="1"/>
  <c r="H15" i="14"/>
  <c r="K15" i="14" s="1"/>
  <c r="H14" i="14"/>
  <c r="K14" i="14" s="1"/>
  <c r="H13" i="14"/>
  <c r="K13" i="14" s="1"/>
  <c r="B3" i="14"/>
  <c r="B1" i="14"/>
  <c r="B2" i="14" s="1"/>
  <c r="H18" i="13"/>
  <c r="K18" i="13" s="1"/>
  <c r="H17" i="13"/>
  <c r="K17" i="13" s="1"/>
  <c r="H16" i="13"/>
  <c r="K16" i="13" s="1"/>
  <c r="H15" i="13"/>
  <c r="K15" i="13" s="1"/>
  <c r="H14" i="13"/>
  <c r="K14" i="13" s="1"/>
  <c r="H13" i="13"/>
  <c r="K13" i="13" s="1"/>
  <c r="B3" i="13"/>
  <c r="B1" i="13"/>
  <c r="B2" i="13" s="1"/>
  <c r="H18" i="12"/>
  <c r="K18" i="12" s="1"/>
  <c r="H17" i="12"/>
  <c r="K17" i="12" s="1"/>
  <c r="H16" i="12"/>
  <c r="K16" i="12" s="1"/>
  <c r="H15" i="12"/>
  <c r="K15" i="12" s="1"/>
  <c r="H14" i="12"/>
  <c r="K14" i="12" s="1"/>
  <c r="H13" i="12"/>
  <c r="K13" i="12" s="1"/>
  <c r="B3" i="12"/>
  <c r="B1" i="12"/>
  <c r="B2" i="12" s="1"/>
  <c r="H18" i="11"/>
  <c r="K18" i="11" s="1"/>
  <c r="H17" i="11"/>
  <c r="K17" i="11" s="1"/>
  <c r="H16" i="11"/>
  <c r="K16" i="11" s="1"/>
  <c r="H15" i="11"/>
  <c r="K15" i="11" s="1"/>
  <c r="H14" i="11"/>
  <c r="K14" i="11" s="1"/>
  <c r="H13" i="11"/>
  <c r="K13" i="11" s="1"/>
  <c r="B3" i="11"/>
  <c r="B1" i="11"/>
  <c r="B2" i="11" s="1"/>
  <c r="H18" i="10"/>
  <c r="K18" i="10" s="1"/>
  <c r="H17" i="10"/>
  <c r="K17" i="10" s="1"/>
  <c r="H16" i="10"/>
  <c r="K16" i="10" s="1"/>
  <c r="H15" i="10"/>
  <c r="K15" i="10" s="1"/>
  <c r="H14" i="10"/>
  <c r="K14" i="10" s="1"/>
  <c r="H13" i="10"/>
  <c r="K13" i="10" s="1"/>
  <c r="B3" i="10"/>
  <c r="B1" i="10"/>
  <c r="B2" i="10" s="1"/>
  <c r="H18" i="9"/>
  <c r="K18" i="9" s="1"/>
  <c r="H17" i="9"/>
  <c r="K17" i="9" s="1"/>
  <c r="H16" i="9"/>
  <c r="K16" i="9" s="1"/>
  <c r="H15" i="9"/>
  <c r="K15" i="9" s="1"/>
  <c r="H14" i="9"/>
  <c r="K14" i="9" s="1"/>
  <c r="H13" i="9"/>
  <c r="K13" i="9" s="1"/>
  <c r="B3" i="9"/>
  <c r="B1" i="9"/>
  <c r="B2" i="9" s="1"/>
  <c r="H18" i="8"/>
  <c r="K18" i="8" s="1"/>
  <c r="H17" i="8"/>
  <c r="K17" i="8" s="1"/>
  <c r="H16" i="8"/>
  <c r="K16" i="8" s="1"/>
  <c r="H15" i="8"/>
  <c r="K15" i="8" s="1"/>
  <c r="H14" i="8"/>
  <c r="K14" i="8" s="1"/>
  <c r="H13" i="8"/>
  <c r="K13" i="8" s="1"/>
  <c r="B3" i="8"/>
  <c r="B1" i="8"/>
  <c r="B2" i="8" s="1"/>
  <c r="H18" i="7"/>
  <c r="K18" i="7" s="1"/>
  <c r="H17" i="7"/>
  <c r="K17" i="7" s="1"/>
  <c r="H16" i="7"/>
  <c r="K16" i="7" s="1"/>
  <c r="H15" i="7"/>
  <c r="K15" i="7" s="1"/>
  <c r="H14" i="7"/>
  <c r="K14" i="7" s="1"/>
  <c r="H13" i="7"/>
  <c r="K13" i="7" s="1"/>
  <c r="B3" i="7"/>
  <c r="B1" i="7"/>
  <c r="B2" i="7" s="1"/>
  <c r="H18" i="6"/>
  <c r="K18" i="6" s="1"/>
  <c r="H17" i="6"/>
  <c r="K17" i="6" s="1"/>
  <c r="H16" i="6"/>
  <c r="K16" i="6" s="1"/>
  <c r="H15" i="6"/>
  <c r="K15" i="6" s="1"/>
  <c r="H14" i="6"/>
  <c r="K14" i="6" s="1"/>
  <c r="H13" i="6"/>
  <c r="K13" i="6" s="1"/>
  <c r="B3" i="6"/>
  <c r="B1" i="6"/>
  <c r="B2" i="6" s="1"/>
  <c r="B4" i="23" l="1"/>
  <c r="B4" i="21"/>
  <c r="B4" i="20"/>
  <c r="B4" i="19"/>
  <c r="B4" i="18"/>
  <c r="B4" i="17"/>
  <c r="B4" i="16"/>
  <c r="B4" i="15"/>
  <c r="B4" i="14"/>
  <c r="B4" i="13"/>
  <c r="B4" i="12"/>
  <c r="B4" i="11"/>
  <c r="B4" i="10"/>
  <c r="B4" i="9"/>
  <c r="B4" i="8"/>
  <c r="B4" i="7"/>
  <c r="B4" i="6"/>
  <c r="C13" i="5"/>
  <c r="C7" i="5"/>
  <c r="C10" i="5"/>
  <c r="B13" i="5"/>
  <c r="B6" i="5"/>
  <c r="B14" i="5"/>
  <c r="D7" i="5"/>
  <c r="D16" i="5"/>
  <c r="C9" i="5"/>
  <c r="C8" i="5"/>
  <c r="B16" i="5"/>
  <c r="B9" i="5"/>
  <c r="C14" i="5"/>
  <c r="B12" i="5"/>
  <c r="D5" i="5"/>
  <c r="D13" i="5"/>
  <c r="B7" i="5"/>
  <c r="D19" i="5"/>
  <c r="D18" i="5"/>
  <c r="D12" i="5"/>
  <c r="B5" i="5"/>
  <c r="C18" i="5"/>
  <c r="D11" i="5"/>
  <c r="D6" i="5"/>
  <c r="D8" i="5"/>
  <c r="D15" i="5"/>
  <c r="C16" i="5"/>
  <c r="B19" i="5"/>
  <c r="D9" i="5"/>
  <c r="B18" i="5"/>
  <c r="B11" i="5"/>
  <c r="D17" i="5"/>
  <c r="C17" i="5"/>
  <c r="C11" i="5"/>
  <c r="C5" i="5"/>
  <c r="D14" i="5"/>
  <c r="C6" i="5"/>
  <c r="C15" i="5"/>
  <c r="C12" i="5"/>
  <c r="B10" i="5"/>
  <c r="C19" i="5"/>
  <c r="B15" i="5"/>
  <c r="B17" i="5"/>
  <c r="D10" i="5"/>
  <c r="B8" i="5"/>
  <c r="F9" i="5" l="1"/>
  <c r="F19" i="5"/>
  <c r="F18" i="5"/>
  <c r="F17" i="5"/>
  <c r="F16" i="5"/>
  <c r="F15" i="5"/>
  <c r="F14" i="5"/>
  <c r="F13" i="5"/>
  <c r="F12" i="5"/>
  <c r="F11" i="5"/>
  <c r="F10" i="5"/>
  <c r="F8" i="5"/>
  <c r="F7" i="5"/>
  <c r="F6" i="5"/>
  <c r="F5" i="5"/>
  <c r="B1" i="1"/>
  <c r="H14" i="1"/>
  <c r="K14" i="1" s="1"/>
  <c r="H15" i="1"/>
  <c r="K15" i="1" s="1"/>
  <c r="H16" i="1"/>
  <c r="K16" i="1" s="1"/>
  <c r="H17" i="1"/>
  <c r="K17" i="1" s="1"/>
  <c r="H18" i="1"/>
  <c r="K18" i="1" s="1"/>
  <c r="H13" i="1"/>
  <c r="K13" i="1" s="1"/>
  <c r="B4" i="1" l="1"/>
  <c r="B3" i="1"/>
  <c r="B2" i="1"/>
  <c r="B4" i="5"/>
  <c r="C4" i="5"/>
  <c r="D4" i="5"/>
  <c r="F4" i="5" l="1"/>
  <c r="F2" i="5" s="1"/>
  <c r="E5" i="5" l="1"/>
  <c r="E6" i="5"/>
  <c r="E7" i="5"/>
  <c r="E13" i="5"/>
  <c r="E17" i="5"/>
  <c r="E18" i="5"/>
  <c r="E19" i="5"/>
  <c r="E15" i="5"/>
  <c r="E10" i="5"/>
  <c r="E8" i="5"/>
  <c r="E9" i="5"/>
  <c r="E16" i="5"/>
  <c r="E12" i="5"/>
  <c r="E11" i="5"/>
  <c r="E14" i="5"/>
  <c r="E4" i="5"/>
</calcChain>
</file>

<file path=xl/sharedStrings.xml><?xml version="1.0" encoding="utf-8"?>
<sst xmlns="http://schemas.openxmlformats.org/spreadsheetml/2006/main" count="706" uniqueCount="58">
  <si>
    <t>Objective Function</t>
  </si>
  <si>
    <t>Decision Variables</t>
  </si>
  <si>
    <t>Constraints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</si>
  <si>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1</t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</si>
  <si>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</si>
  <si>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</si>
  <si>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4</t>
    </r>
    <r>
      <rPr>
        <sz val="12"/>
        <color theme="1"/>
        <rFont val="Times New Roman"/>
        <family val="2"/>
      </rPr>
      <t/>
    </r>
  </si>
  <si>
    <t>Objective Function Coefficients</t>
  </si>
  <si>
    <t>LHS Value</t>
  </si>
  <si>
    <t>RHS Constraint</t>
  </si>
  <si>
    <t>Bound</t>
  </si>
  <si>
    <t>red font indicates variables fixed to a particular value</t>
  </si>
  <si>
    <t>Problem</t>
  </si>
  <si>
    <t>Upper Bound</t>
  </si>
  <si>
    <t>Fathom Branch?</t>
  </si>
  <si>
    <t>Max. Feasible Soln.</t>
  </si>
  <si>
    <t>Feasible Binary Solutions</t>
  </si>
  <si>
    <t>Original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</si>
  <si>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5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</si>
  <si>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6</t>
    </r>
    <r>
      <rPr>
        <sz val="12"/>
        <color theme="1"/>
        <rFont val="Times New Roman"/>
        <family val="2"/>
      </rPr>
      <t/>
    </r>
  </si>
  <si>
    <t>Option 1 is required for Option 2</t>
  </si>
  <si>
    <t>Option 1 is required for Option 3</t>
  </si>
  <si>
    <t>Option 6 is required for Option 4</t>
  </si>
  <si>
    <t>Options 3 and 4 are incompatible</t>
  </si>
  <si>
    <t>Options 2 and 3 are incompatible</t>
  </si>
  <si>
    <t>Constraint Type</t>
  </si>
  <si>
    <t>≤</t>
  </si>
  <si>
    <t>Choose at most 3 Options</t>
  </si>
  <si>
    <t>This problem represents the selection of options on a new vehicle, where a customer can choose among 6 options.  There are some restrictions, however,  including that some options require other options to be installed and other Option combinations that are incompatible.</t>
  </si>
  <si>
    <t>BIP Feasible?</t>
  </si>
  <si>
    <t>Constraints Feasible?</t>
  </si>
  <si>
    <t>Binary Feasible?</t>
  </si>
  <si>
    <t>Constraint Feasible?</t>
  </si>
  <si>
    <t>Constraint Satisfied?</t>
  </si>
  <si>
    <t>0xxxxx</t>
  </si>
  <si>
    <t>1xxxxx</t>
  </si>
  <si>
    <t>00xxxx</t>
  </si>
  <si>
    <t>01xxxx</t>
  </si>
  <si>
    <t>10xxxx</t>
  </si>
  <si>
    <t>11xxxx</t>
  </si>
  <si>
    <t>110xxx</t>
  </si>
  <si>
    <t>111xxx</t>
  </si>
  <si>
    <t>1100xx</t>
  </si>
  <si>
    <t>1101xx</t>
  </si>
  <si>
    <t>001xxx</t>
  </si>
  <si>
    <t>000xxx</t>
  </si>
  <si>
    <t>0000xx</t>
  </si>
  <si>
    <t>0001xx</t>
  </si>
  <si>
    <t xml:space="preserve">00011x </t>
  </si>
  <si>
    <t>SOLUTION</t>
  </si>
  <si>
    <t>OR</t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</si>
  <si>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1</t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</si>
  <si>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</si>
  <si>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</si>
  <si>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4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</si>
  <si>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5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</si>
  <si>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6</t>
    </r>
    <r>
      <rPr>
        <sz val="12"/>
        <color theme="1"/>
        <rFont val="Times New Roman"/>
        <family val="2"/>
      </rPr>
      <t/>
    </r>
  </si>
  <si>
    <t>Optimal Objective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</si>
</sst>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vertAlign val="sub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2"/>
    </font>
    <font>
      <i/>
      <sz val="12"/>
      <name val="Times New Roman"/>
      <family val="2"/>
    </font>
    <font>
      <vertAlign val="subscript"/>
      <sz val="12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4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/>
    <xf numFmtId="0" fontId="6" fillId="0" borderId="0" xfId="0" applyFont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6" fillId="2" borderId="0" xfId="0" applyFont="1" applyFill="1"/>
    <xf numFmtId="0" fontId="6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163830</xdr:rowOff>
        </xdr:from>
        <xdr:to>
          <xdr:col>7</xdr:col>
          <xdr:colOff>129540</xdr:colOff>
          <xdr:row>3</xdr:row>
          <xdr:rowOff>160020</xdr:rowOff>
        </xdr:to>
        <xdr:sp macro="" textlink="">
          <xdr:nvSpPr>
            <xdr:cNvPr id="3073" name="btnUpda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1"/>
  <sheetViews>
    <sheetView tabSelected="1" topLeftCell="C1" workbookViewId="0">
      <selection activeCell="M9" sqref="M9"/>
    </sheetView>
  </sheetViews>
  <sheetFormatPr defaultRowHeight="15.3" x14ac:dyDescent="0.55000000000000004"/>
  <cols>
    <col min="1" max="1" width="9.25" customWidth="1"/>
    <col min="2" max="2" width="8.84765625" bestFit="1" customWidth="1"/>
    <col min="3" max="3" width="10.84765625" customWidth="1"/>
    <col min="4" max="4" width="11.84765625" bestFit="1" customWidth="1"/>
    <col min="5" max="5" width="14.75" bestFit="1" customWidth="1"/>
    <col min="6" max="6" width="17.75" bestFit="1" customWidth="1"/>
    <col min="13" max="13" width="20.6484375" bestFit="1" customWidth="1"/>
  </cols>
  <sheetData>
    <row r="1" spans="1:19" x14ac:dyDescent="0.55000000000000004">
      <c r="F1" s="11" t="s">
        <v>15</v>
      </c>
    </row>
    <row r="2" spans="1:19" x14ac:dyDescent="0.55000000000000004">
      <c r="F2" s="2">
        <f ca="1">IF(MIN(F4:F19)=0,"",MAX(F4:F19))</f>
        <v>18</v>
      </c>
    </row>
    <row r="3" spans="1:19" ht="30.3" x14ac:dyDescent="0.55000000000000004">
      <c r="A3" s="11" t="s">
        <v>12</v>
      </c>
      <c r="B3" s="16" t="s">
        <v>29</v>
      </c>
      <c r="C3" s="16" t="s">
        <v>30</v>
      </c>
      <c r="D3" s="11" t="s">
        <v>13</v>
      </c>
      <c r="E3" s="11" t="s">
        <v>14</v>
      </c>
      <c r="F3" s="12" t="s">
        <v>16</v>
      </c>
    </row>
    <row r="4" spans="1:19" x14ac:dyDescent="0.55000000000000004">
      <c r="A4" s="2" t="s">
        <v>17</v>
      </c>
      <c r="B4" s="2" t="b">
        <f ca="1">IF(A4&lt;&gt;"",INDIRECT(A4&amp;"!Feasible"),"")</f>
        <v>0</v>
      </c>
      <c r="C4" s="2" t="b">
        <f ca="1">IF(A4&lt;&gt;"",INDIRECT(A4&amp;"!ConstraintsFeasible"),"")</f>
        <v>1</v>
      </c>
      <c r="D4" s="2">
        <f ca="1">IF(A4&lt;&gt;"",INDIRECT(A4&amp;"!Bound"),"")</f>
        <v>18</v>
      </c>
      <c r="E4" s="2" t="str">
        <f ca="1">IF($F$2="","",IF(A4="","",IF(OR(D4&lt;$F$2,NOT(C4)),"Yes","")))</f>
        <v/>
      </c>
      <c r="F4" s="2" t="str">
        <f ca="1">IF(A4&lt;&gt;"",IF(AND(B4,C4),D4,""),"")</f>
        <v/>
      </c>
    </row>
    <row r="5" spans="1:19" x14ac:dyDescent="0.55000000000000004">
      <c r="A5" s="2" t="s">
        <v>34</v>
      </c>
      <c r="B5" s="2" t="b">
        <f t="shared" ref="B5:B19" ca="1" si="0">IF(A5&lt;&gt;"",INDIRECT(A5&amp;"!Feasible"),"")</f>
        <v>1</v>
      </c>
      <c r="C5" s="2" t="b">
        <f t="shared" ref="C5:C19" ca="1" si="1">IF(A5&lt;&gt;"",INDIRECT(A5&amp;"!ConstraintsFeasible"),"")</f>
        <v>1</v>
      </c>
      <c r="D5" s="2">
        <f t="shared" ref="D5:D19" ca="1" si="2">IF(A5&lt;&gt;"",INDIRECT(A5&amp;"!Bound"),"")</f>
        <v>18</v>
      </c>
      <c r="E5" s="2" t="str">
        <f t="shared" ref="E5:E19" ca="1" si="3">IF($F$2="","",IF(A5="","",IF(OR(D5&lt;$F$2,NOT(C5)),"Yes","")))</f>
        <v/>
      </c>
      <c r="F5" s="2">
        <f t="shared" ref="F5:F19" ca="1" si="4">IF(A5&lt;&gt;"",IF(AND(B5,C5),D5,""),"")</f>
        <v>18</v>
      </c>
    </row>
    <row r="6" spans="1:19" x14ac:dyDescent="0.55000000000000004">
      <c r="A6" s="2" t="s">
        <v>35</v>
      </c>
      <c r="B6" s="2" t="b">
        <f t="shared" ca="1" si="0"/>
        <v>0</v>
      </c>
      <c r="C6" s="2" t="b">
        <f t="shared" ca="1" si="1"/>
        <v>1</v>
      </c>
      <c r="D6" s="2">
        <f t="shared" ca="1" si="2"/>
        <v>18</v>
      </c>
      <c r="E6" s="2" t="str">
        <f t="shared" ca="1" si="3"/>
        <v/>
      </c>
      <c r="F6" s="2" t="str">
        <f t="shared" ca="1" si="4"/>
        <v/>
      </c>
    </row>
    <row r="7" spans="1:19" x14ac:dyDescent="0.55000000000000004">
      <c r="A7" s="2" t="s">
        <v>36</v>
      </c>
      <c r="B7" s="2" t="b">
        <f t="shared" ca="1" si="0"/>
        <v>1</v>
      </c>
      <c r="C7" s="2" t="b">
        <f t="shared" ca="1" si="1"/>
        <v>1</v>
      </c>
      <c r="D7" s="2">
        <f t="shared" ca="1" si="2"/>
        <v>18</v>
      </c>
      <c r="E7" s="2" t="str">
        <f t="shared" ca="1" si="3"/>
        <v/>
      </c>
      <c r="F7" s="2">
        <f t="shared" ca="1" si="4"/>
        <v>18</v>
      </c>
      <c r="M7" s="24" t="s">
        <v>49</v>
      </c>
      <c r="N7" s="21"/>
      <c r="O7" s="21"/>
      <c r="P7" s="21"/>
      <c r="Q7" s="21"/>
      <c r="R7" s="21"/>
      <c r="S7" s="21"/>
    </row>
    <row r="8" spans="1:19" x14ac:dyDescent="0.55000000000000004">
      <c r="A8" s="2" t="s">
        <v>37</v>
      </c>
      <c r="B8" s="2" t="b">
        <f t="shared" ca="1" si="0"/>
        <v>1</v>
      </c>
      <c r="C8" s="2" t="b">
        <f t="shared" ca="1" si="1"/>
        <v>0</v>
      </c>
      <c r="D8" s="2">
        <f t="shared" ca="1" si="2"/>
        <v>9</v>
      </c>
      <c r="E8" s="2" t="str">
        <f t="shared" ca="1" si="3"/>
        <v>Yes</v>
      </c>
      <c r="F8" s="2" t="str">
        <f t="shared" ca="1" si="4"/>
        <v/>
      </c>
      <c r="M8" s="21"/>
      <c r="N8" s="21"/>
      <c r="O8" s="21"/>
      <c r="P8" s="21"/>
      <c r="Q8" s="21"/>
      <c r="R8" s="21"/>
      <c r="S8" s="21"/>
    </row>
    <row r="9" spans="1:19" x14ac:dyDescent="0.55000000000000004">
      <c r="A9" s="2" t="s">
        <v>38</v>
      </c>
      <c r="B9" s="2" t="b">
        <f t="shared" ca="1" si="0"/>
        <v>1</v>
      </c>
      <c r="C9" s="2" t="b">
        <f t="shared" ca="1" si="1"/>
        <v>1</v>
      </c>
      <c r="D9" s="2">
        <f t="shared" ca="1" si="2"/>
        <v>16</v>
      </c>
      <c r="E9" s="2" t="str">
        <f t="shared" ca="1" si="3"/>
        <v>Yes</v>
      </c>
      <c r="F9" s="2">
        <f ca="1">IF(A9&lt;&gt;"",IF(AND(B9,C9),D9,""),"")</f>
        <v>16</v>
      </c>
      <c r="M9" s="24" t="s">
        <v>57</v>
      </c>
      <c r="N9" s="21">
        <v>18</v>
      </c>
      <c r="O9" s="21"/>
      <c r="P9" s="21"/>
      <c r="Q9" s="21"/>
      <c r="R9" s="21"/>
      <c r="S9" s="21"/>
    </row>
    <row r="10" spans="1:19" x14ac:dyDescent="0.55000000000000004">
      <c r="A10" s="2" t="s">
        <v>39</v>
      </c>
      <c r="B10" s="2" t="b">
        <f t="shared" ca="1" si="0"/>
        <v>0</v>
      </c>
      <c r="C10" s="2" t="b">
        <f t="shared" ca="1" si="1"/>
        <v>1</v>
      </c>
      <c r="D10" s="2">
        <f t="shared" ca="1" si="2"/>
        <v>18</v>
      </c>
      <c r="E10" s="2" t="str">
        <f t="shared" ca="1" si="3"/>
        <v/>
      </c>
      <c r="F10" s="2" t="str">
        <f t="shared" ca="1" si="4"/>
        <v/>
      </c>
      <c r="M10" s="21"/>
      <c r="N10" s="21"/>
      <c r="O10" s="21"/>
      <c r="P10" s="21"/>
      <c r="Q10" s="21"/>
      <c r="R10" s="21"/>
      <c r="S10" s="21"/>
    </row>
    <row r="11" spans="1:19" ht="18.3" x14ac:dyDescent="0.8">
      <c r="A11" s="2" t="s">
        <v>40</v>
      </c>
      <c r="B11" s="2" t="b">
        <f t="shared" ca="1" si="0"/>
        <v>0</v>
      </c>
      <c r="C11" s="2" t="b">
        <f t="shared" ca="1" si="1"/>
        <v>1</v>
      </c>
      <c r="D11" s="2">
        <f t="shared" ca="1" si="2"/>
        <v>18</v>
      </c>
      <c r="E11" s="2" t="str">
        <f t="shared" ca="1" si="3"/>
        <v/>
      </c>
      <c r="F11" s="2" t="str">
        <f t="shared" ca="1" si="4"/>
        <v/>
      </c>
      <c r="M11" s="25" t="s">
        <v>1</v>
      </c>
      <c r="N11" s="22" t="s">
        <v>51</v>
      </c>
      <c r="O11" s="22" t="s">
        <v>52</v>
      </c>
      <c r="P11" s="22" t="s">
        <v>53</v>
      </c>
      <c r="Q11" s="22" t="s">
        <v>54</v>
      </c>
      <c r="R11" s="22" t="s">
        <v>55</v>
      </c>
      <c r="S11" s="22" t="s">
        <v>56</v>
      </c>
    </row>
    <row r="12" spans="1:19" x14ac:dyDescent="0.55000000000000004">
      <c r="A12" s="2" t="s">
        <v>41</v>
      </c>
      <c r="B12" s="2" t="b">
        <f t="shared" ca="1" si="0"/>
        <v>1</v>
      </c>
      <c r="C12" s="2" t="b">
        <f t="shared" ca="1" si="1"/>
        <v>0</v>
      </c>
      <c r="D12" s="2">
        <f t="shared" ca="1" si="2"/>
        <v>19</v>
      </c>
      <c r="E12" s="2" t="str">
        <f t="shared" ca="1" si="3"/>
        <v>Yes</v>
      </c>
      <c r="F12" s="2" t="str">
        <f t="shared" ca="1" si="4"/>
        <v/>
      </c>
      <c r="M12" s="25"/>
      <c r="N12" s="23">
        <v>1</v>
      </c>
      <c r="O12" s="23">
        <v>1</v>
      </c>
      <c r="P12" s="23">
        <v>0</v>
      </c>
      <c r="Q12" s="23">
        <v>0</v>
      </c>
      <c r="R12" s="23">
        <v>1</v>
      </c>
      <c r="S12" s="23">
        <v>0</v>
      </c>
    </row>
    <row r="13" spans="1:19" ht="18.3" customHeight="1" x14ac:dyDescent="0.55000000000000004">
      <c r="A13" s="2" t="s">
        <v>42</v>
      </c>
      <c r="B13" s="2" t="b">
        <f t="shared" ca="1" si="0"/>
        <v>1</v>
      </c>
      <c r="C13" s="2" t="b">
        <f t="shared" ca="1" si="1"/>
        <v>1</v>
      </c>
      <c r="D13" s="2">
        <f t="shared" ca="1" si="2"/>
        <v>18</v>
      </c>
      <c r="E13" s="2" t="str">
        <f t="shared" ca="1" si="3"/>
        <v/>
      </c>
      <c r="F13" s="2">
        <f t="shared" ca="1" si="4"/>
        <v>18</v>
      </c>
      <c r="M13" s="21"/>
      <c r="N13" s="21"/>
      <c r="O13" s="21"/>
      <c r="P13" s="21"/>
      <c r="Q13" s="21"/>
      <c r="R13" s="21"/>
      <c r="S13" s="21"/>
    </row>
    <row r="14" spans="1:19" x14ac:dyDescent="0.55000000000000004">
      <c r="A14" s="2" t="s">
        <v>43</v>
      </c>
      <c r="B14" s="2" t="b">
        <f t="shared" ca="1" si="0"/>
        <v>1</v>
      </c>
      <c r="C14" s="2" t="b">
        <f t="shared" ca="1" si="1"/>
        <v>0</v>
      </c>
      <c r="D14" s="2">
        <f t="shared" ca="1" si="2"/>
        <v>20</v>
      </c>
      <c r="E14" s="2" t="str">
        <f t="shared" ca="1" si="3"/>
        <v>Yes</v>
      </c>
      <c r="F14" s="2" t="str">
        <f t="shared" ca="1" si="4"/>
        <v/>
      </c>
      <c r="M14" s="21"/>
      <c r="N14" s="21" t="s">
        <v>50</v>
      </c>
      <c r="O14" s="21"/>
      <c r="P14" s="21"/>
      <c r="Q14" s="21"/>
      <c r="R14" s="21"/>
      <c r="S14" s="21"/>
    </row>
    <row r="15" spans="1:19" ht="18.3" x14ac:dyDescent="0.8">
      <c r="A15" s="2">
        <v>110010</v>
      </c>
      <c r="B15" s="2" t="b">
        <f t="shared" ca="1" si="0"/>
        <v>1</v>
      </c>
      <c r="C15" s="2" t="b">
        <f t="shared" ca="1" si="1"/>
        <v>1</v>
      </c>
      <c r="D15" s="2">
        <f t="shared" ca="1" si="2"/>
        <v>18</v>
      </c>
      <c r="E15" s="2" t="str">
        <f t="shared" ca="1" si="3"/>
        <v/>
      </c>
      <c r="F15" s="2">
        <f t="shared" ca="1" si="4"/>
        <v>18</v>
      </c>
      <c r="M15" s="25" t="s">
        <v>1</v>
      </c>
      <c r="N15" s="22" t="s">
        <v>51</v>
      </c>
      <c r="O15" s="22" t="s">
        <v>52</v>
      </c>
      <c r="P15" s="22" t="s">
        <v>53</v>
      </c>
      <c r="Q15" s="22" t="s">
        <v>54</v>
      </c>
      <c r="R15" s="22" t="s">
        <v>55</v>
      </c>
      <c r="S15" s="22" t="s">
        <v>56</v>
      </c>
    </row>
    <row r="16" spans="1:19" x14ac:dyDescent="0.55000000000000004">
      <c r="A16" s="2" t="s">
        <v>44</v>
      </c>
      <c r="B16" s="2" t="b">
        <f t="shared" ca="1" si="0"/>
        <v>1</v>
      </c>
      <c r="C16" s="2" t="b">
        <f t="shared" ca="1" si="1"/>
        <v>0</v>
      </c>
      <c r="D16" s="2">
        <f t="shared" ca="1" si="2"/>
        <v>7</v>
      </c>
      <c r="E16" s="2" t="str">
        <f t="shared" ca="1" si="3"/>
        <v>Yes</v>
      </c>
      <c r="F16" s="2" t="str">
        <f t="shared" ca="1" si="4"/>
        <v/>
      </c>
      <c r="M16" s="25"/>
      <c r="N16" s="23">
        <v>0</v>
      </c>
      <c r="O16" s="23">
        <v>0</v>
      </c>
      <c r="P16" s="23">
        <v>0</v>
      </c>
      <c r="Q16" s="23">
        <v>1</v>
      </c>
      <c r="R16" s="23">
        <v>1</v>
      </c>
      <c r="S16" s="23">
        <v>1</v>
      </c>
    </row>
    <row r="17" spans="1:6" x14ac:dyDescent="0.55000000000000004">
      <c r="A17" s="2" t="s">
        <v>45</v>
      </c>
      <c r="B17" s="2" t="b">
        <f t="shared" ca="1" si="0"/>
        <v>1</v>
      </c>
      <c r="C17" s="2" t="b">
        <f t="shared" ca="1" si="1"/>
        <v>1</v>
      </c>
      <c r="D17" s="2">
        <f t="shared" ca="1" si="2"/>
        <v>18</v>
      </c>
      <c r="E17" s="2" t="str">
        <f t="shared" ca="1" si="3"/>
        <v/>
      </c>
      <c r="F17" s="2">
        <f t="shared" ca="1" si="4"/>
        <v>18</v>
      </c>
    </row>
    <row r="18" spans="1:6" x14ac:dyDescent="0.55000000000000004">
      <c r="A18" s="2" t="s">
        <v>46</v>
      </c>
      <c r="B18" s="2" t="b">
        <f t="shared" ca="1" si="0"/>
        <v>1</v>
      </c>
      <c r="C18" s="2" t="b">
        <f t="shared" ca="1" si="1"/>
        <v>1</v>
      </c>
      <c r="D18" s="2">
        <f t="shared" ca="1" si="2"/>
        <v>10</v>
      </c>
      <c r="E18" s="2" t="str">
        <f t="shared" ca="1" si="3"/>
        <v>Yes</v>
      </c>
      <c r="F18" s="2">
        <f t="shared" ca="1" si="4"/>
        <v>10</v>
      </c>
    </row>
    <row r="19" spans="1:6" x14ac:dyDescent="0.55000000000000004">
      <c r="A19" s="2" t="s">
        <v>47</v>
      </c>
      <c r="B19" s="2" t="b">
        <f t="shared" ca="1" si="0"/>
        <v>1</v>
      </c>
      <c r="C19" s="2" t="b">
        <f t="shared" ca="1" si="1"/>
        <v>1</v>
      </c>
      <c r="D19" s="2">
        <f t="shared" ca="1" si="2"/>
        <v>18</v>
      </c>
      <c r="E19" s="2" t="str">
        <f t="shared" ca="1" si="3"/>
        <v/>
      </c>
      <c r="F19" s="2">
        <f t="shared" ca="1" si="4"/>
        <v>18</v>
      </c>
    </row>
    <row r="20" spans="1:6" x14ac:dyDescent="0.55000000000000004">
      <c r="A20" t="s">
        <v>48</v>
      </c>
    </row>
    <row r="21" spans="1:6" x14ac:dyDescent="0.55000000000000004">
      <c r="A21">
        <v>111</v>
      </c>
    </row>
  </sheetData>
  <mergeCells count="2">
    <mergeCell ref="M11:M12"/>
    <mergeCell ref="M15:M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Update">
          <controlPr defaultSize="0" autoLine="0" r:id="rId5">
            <anchor moveWithCells="1">
              <from>
                <xdr:col>6</xdr:col>
                <xdr:colOff>190500</xdr:colOff>
                <xdr:row>2</xdr:row>
                <xdr:rowOff>163830</xdr:rowOff>
              </from>
              <to>
                <xdr:col>7</xdr:col>
                <xdr:colOff>129540</xdr:colOff>
                <xdr:row>3</xdr:row>
                <xdr:rowOff>160020</xdr:rowOff>
              </to>
            </anchor>
          </controlPr>
        </control>
      </mc:Choice>
      <mc:Fallback>
        <control shapeId="3073" r:id="rId4" name="btn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zoomScale="88" zoomScaleNormal="88" workbookViewId="0">
      <selection activeCell="N5" sqref="N5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3" t="s">
        <v>0</v>
      </c>
      <c r="B1" s="2">
        <f>SUMPRODUCT(B6:G6,B10:G10)</f>
        <v>18.5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3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3" t="s">
        <v>31</v>
      </c>
      <c r="B3" s="2" t="b">
        <f>IF(AND(B10=FLOOR(B10,1),C10=FLOOR(C10,1),D10=FLOOR(D10,1),E10=FLOOR(E10,1)),TRUE,FALSE)</f>
        <v>0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5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">
        <v>0.50000000000000011</v>
      </c>
      <c r="C10" s="2">
        <v>0.50000000000000011</v>
      </c>
      <c r="D10" s="2">
        <v>0.5</v>
      </c>
      <c r="E10" s="2">
        <v>0.49999999999999994</v>
      </c>
      <c r="F10" s="2">
        <v>0.5</v>
      </c>
      <c r="G10" s="2">
        <v>0.49999999999999994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-1.1102230246251565E-16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A9:A10"/>
    <mergeCell ref="D1:K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zoomScale="88" zoomScaleNormal="88" workbookViewId="0">
      <selection activeCell="B10" sqref="B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">
        <v>0</v>
      </c>
      <c r="D10" s="2">
        <v>0</v>
      </c>
      <c r="E10" s="2">
        <v>1</v>
      </c>
      <c r="F10" s="2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zoomScale="88" zoomScaleNormal="88" workbookViewId="0">
      <selection activeCell="B11" sqref="B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0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">
        <v>1</v>
      </c>
      <c r="D10" s="2">
        <v>0</v>
      </c>
      <c r="E10" s="2">
        <v>0.5</v>
      </c>
      <c r="F10" s="2">
        <v>0</v>
      </c>
      <c r="G10" s="2">
        <v>0.5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0.5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8"/>
  <sheetViews>
    <sheetView zoomScale="88" zoomScaleNormal="88" workbookViewId="0">
      <selection activeCell="C10" sqref="C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">
        <v>0</v>
      </c>
      <c r="E10" s="2">
        <v>1</v>
      </c>
      <c r="F10" s="2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8"/>
  <sheetViews>
    <sheetView zoomScale="88" zoomScaleNormal="88" workbookViewId="0">
      <selection activeCell="C11" sqref="C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9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9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0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1</v>
      </c>
      <c r="D10" s="2">
        <v>0</v>
      </c>
      <c r="E10" s="2">
        <v>0</v>
      </c>
      <c r="F10" s="2">
        <v>0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1</v>
      </c>
      <c r="I13" s="2" t="s">
        <v>26</v>
      </c>
      <c r="J13" s="2">
        <v>0</v>
      </c>
      <c r="K13" s="2" t="b">
        <f>IF(H13&lt;=J13,TRUE,FALSE)</f>
        <v>0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1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8"/>
  <sheetViews>
    <sheetView zoomScale="88" zoomScaleNormal="88" workbookViewId="0">
      <selection activeCell="C10" sqref="C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16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16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0</v>
      </c>
      <c r="D10" s="2">
        <v>1</v>
      </c>
      <c r="E10" s="2">
        <v>0</v>
      </c>
      <c r="F10" s="2">
        <v>1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-1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8"/>
  <sheetViews>
    <sheetView zoomScale="88" zoomScaleNormal="88" workbookViewId="0">
      <selection activeCell="C11" sqref="C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0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">
        <v>0</v>
      </c>
      <c r="E10" s="2">
        <v>0.5</v>
      </c>
      <c r="F10" s="2">
        <v>0</v>
      </c>
      <c r="G10" s="2">
        <v>0.5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0.5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8"/>
  <sheetViews>
    <sheetView zoomScale="88" zoomScaleNormal="88" workbookViewId="0">
      <selection activeCell="D10" sqref="D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0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0">
        <v>0</v>
      </c>
      <c r="E10" s="2">
        <v>0.5</v>
      </c>
      <c r="F10" s="2">
        <v>0</v>
      </c>
      <c r="G10" s="2">
        <v>0.5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0.5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8"/>
  <sheetViews>
    <sheetView zoomScale="88" zoomScaleNormal="88" workbookViewId="0">
      <selection activeCell="D11" sqref="D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19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19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0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0">
        <v>1</v>
      </c>
      <c r="E10" s="2">
        <v>0</v>
      </c>
      <c r="F10" s="2">
        <v>0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2</v>
      </c>
      <c r="I17" s="2" t="s">
        <v>26</v>
      </c>
      <c r="J17" s="9">
        <v>1</v>
      </c>
      <c r="K17" s="2" t="b">
        <f t="shared" si="1"/>
        <v>0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8"/>
  <sheetViews>
    <sheetView zoomScale="88" zoomScaleNormal="88" workbookViewId="0">
      <selection activeCell="G9" sqref="A9:G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0">
        <v>0</v>
      </c>
      <c r="E10" s="20">
        <v>0</v>
      </c>
      <c r="F10" s="2">
        <v>1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8"/>
  <sheetViews>
    <sheetView zoomScale="88" zoomScaleNormal="88" workbookViewId="0">
      <selection activeCell="E11" sqref="E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20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20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0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0">
        <v>0</v>
      </c>
      <c r="E10" s="20">
        <v>1</v>
      </c>
      <c r="F10" s="2">
        <v>0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1</v>
      </c>
      <c r="I15" s="2" t="s">
        <v>26</v>
      </c>
      <c r="J15" s="2">
        <v>0</v>
      </c>
      <c r="K15" s="2" t="b">
        <f t="shared" si="1"/>
        <v>0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8"/>
  <sheetViews>
    <sheetView zoomScale="88" zoomScaleNormal="88" workbookViewId="0">
      <selection activeCell="G10" sqref="F10:G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1</v>
      </c>
      <c r="C10" s="20">
        <v>1</v>
      </c>
      <c r="D10" s="20">
        <v>0</v>
      </c>
      <c r="E10" s="20">
        <v>0</v>
      </c>
      <c r="F10" s="20">
        <v>1</v>
      </c>
      <c r="G10" s="20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-1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8"/>
  <sheetViews>
    <sheetView zoomScale="88" zoomScaleNormal="88" workbookViewId="0">
      <selection activeCell="D10" sqref="D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7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7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0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1</v>
      </c>
      <c r="E10" s="2">
        <v>0</v>
      </c>
      <c r="F10" s="2">
        <v>0</v>
      </c>
      <c r="G10" s="2">
        <v>0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1</v>
      </c>
      <c r="I14" s="2" t="s">
        <v>26</v>
      </c>
      <c r="J14" s="2">
        <v>0</v>
      </c>
      <c r="K14" s="2" t="b">
        <f t="shared" ref="K14:K18" si="1">IF(H14&lt;=J14,TRUE,FALSE)</f>
        <v>0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1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1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8"/>
  <sheetViews>
    <sheetView zoomScale="88" zoomScaleNormal="88" workbookViewId="0">
      <selection activeCell="D11" sqref="D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0</v>
      </c>
      <c r="E10" s="2">
        <v>1</v>
      </c>
      <c r="F10" s="2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8"/>
  <sheetViews>
    <sheetView zoomScale="88" zoomScaleNormal="88" workbookViewId="0">
      <selection activeCell="E10" sqref="E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10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10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0</v>
      </c>
      <c r="E10" s="20">
        <v>0</v>
      </c>
      <c r="F10" s="2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-1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0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2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8"/>
  <sheetViews>
    <sheetView zoomScale="88" zoomScaleNormal="88" workbookViewId="0">
      <selection activeCell="F10" sqref="F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0</v>
      </c>
      <c r="E10" s="20">
        <v>1</v>
      </c>
      <c r="F10" s="2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8"/>
  <sheetViews>
    <sheetView zoomScale="88" zoomScaleNormal="88" workbookViewId="0">
      <selection activeCell="G11" sqref="G11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0</v>
      </c>
      <c r="E10" s="20">
        <v>1</v>
      </c>
      <c r="F10" s="20">
        <v>1</v>
      </c>
      <c r="G10" s="2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8"/>
  <sheetViews>
    <sheetView zoomScale="88" zoomScaleNormal="88" workbookViewId="0">
      <selection activeCell="G10" sqref="A9:G10"/>
    </sheetView>
  </sheetViews>
  <sheetFormatPr defaultRowHeight="15.3" x14ac:dyDescent="0.55000000000000004"/>
  <cols>
    <col min="1" max="1" width="27.09765625" customWidth="1"/>
    <col min="6" max="6" width="10.25" customWidth="1"/>
    <col min="7" max="7" width="13" bestFit="1" customWidth="1"/>
    <col min="8" max="8" width="13.34765625" bestFit="1" customWidth="1"/>
    <col min="9" max="9" width="13.25" customWidth="1"/>
    <col min="10" max="10" width="13.34765625" bestFit="1" customWidth="1"/>
    <col min="11" max="11" width="11.59765625" customWidth="1"/>
  </cols>
  <sheetData>
    <row r="1" spans="1:11" ht="31.15" customHeight="1" x14ac:dyDescent="0.55000000000000004">
      <c r="A1" s="19" t="s">
        <v>0</v>
      </c>
      <c r="B1" s="2">
        <f>SUMPRODUCT(B6:G6,B10:G10)</f>
        <v>18</v>
      </c>
      <c r="D1" s="27" t="s">
        <v>28</v>
      </c>
      <c r="E1" s="27"/>
      <c r="F1" s="27"/>
      <c r="G1" s="27"/>
      <c r="H1" s="27"/>
      <c r="I1" s="27"/>
      <c r="J1" s="27"/>
      <c r="K1" s="27"/>
    </row>
    <row r="2" spans="1:11" x14ac:dyDescent="0.55000000000000004">
      <c r="A2" s="19" t="s">
        <v>10</v>
      </c>
      <c r="B2" s="2">
        <f>FLOOR(B1,1)</f>
        <v>18</v>
      </c>
      <c r="D2" s="27"/>
      <c r="E2" s="27"/>
      <c r="F2" s="27"/>
      <c r="G2" s="27"/>
      <c r="H2" s="27"/>
      <c r="I2" s="27"/>
      <c r="J2" s="27"/>
      <c r="K2" s="27"/>
    </row>
    <row r="3" spans="1:11" x14ac:dyDescent="0.55000000000000004">
      <c r="A3" s="19" t="s">
        <v>31</v>
      </c>
      <c r="B3" s="2" t="b">
        <f>IF(AND(B10=FLOOR(B10,1),C10=FLOOR(C10,1),D10=FLOOR(D10,1),E10=FLOOR(E10,1)),TRUE,FALSE)</f>
        <v>1</v>
      </c>
      <c r="D3" s="27"/>
      <c r="E3" s="27"/>
      <c r="F3" s="27"/>
      <c r="G3" s="27"/>
      <c r="H3" s="27"/>
      <c r="I3" s="27"/>
      <c r="J3" s="27"/>
      <c r="K3" s="27"/>
    </row>
    <row r="4" spans="1:11" x14ac:dyDescent="0.55000000000000004">
      <c r="A4" s="19" t="s">
        <v>32</v>
      </c>
      <c r="B4" s="2" t="b">
        <f>AND(K13:K18)</f>
        <v>1</v>
      </c>
      <c r="D4" s="17"/>
      <c r="E4" s="17"/>
      <c r="F4" s="17"/>
      <c r="G4" s="17"/>
      <c r="H4" s="17"/>
      <c r="I4" s="17"/>
      <c r="J4" s="17"/>
      <c r="K4" s="17"/>
    </row>
    <row r="5" spans="1:11" x14ac:dyDescent="0.55000000000000004">
      <c r="A5" s="4"/>
      <c r="B5" s="5"/>
    </row>
    <row r="6" spans="1:11" x14ac:dyDescent="0.55000000000000004">
      <c r="A6" s="6" t="s">
        <v>7</v>
      </c>
      <c r="B6" s="7">
        <v>3</v>
      </c>
      <c r="C6" s="7">
        <v>9</v>
      </c>
      <c r="D6" s="7">
        <v>7</v>
      </c>
      <c r="E6" s="7">
        <v>8</v>
      </c>
      <c r="F6" s="13">
        <v>6</v>
      </c>
      <c r="G6" s="13">
        <v>4</v>
      </c>
    </row>
    <row r="7" spans="1:11" x14ac:dyDescent="0.55000000000000004">
      <c r="A7" s="4"/>
      <c r="B7" s="5"/>
    </row>
    <row r="8" spans="1:11" x14ac:dyDescent="0.55000000000000004">
      <c r="A8" s="10" t="s">
        <v>11</v>
      </c>
    </row>
    <row r="9" spans="1:11" ht="18.3" x14ac:dyDescent="0.8">
      <c r="A9" s="26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18</v>
      </c>
      <c r="G9" s="1" t="s">
        <v>19</v>
      </c>
    </row>
    <row r="10" spans="1:11" x14ac:dyDescent="0.55000000000000004">
      <c r="A10" s="26"/>
      <c r="B10" s="20">
        <v>0</v>
      </c>
      <c r="C10" s="20">
        <v>0</v>
      </c>
      <c r="D10" s="20">
        <v>0</v>
      </c>
      <c r="E10" s="20">
        <v>1</v>
      </c>
      <c r="F10" s="20">
        <v>1</v>
      </c>
      <c r="G10" s="20">
        <v>1</v>
      </c>
    </row>
    <row r="12" spans="1:11" ht="32.1" x14ac:dyDescent="0.8">
      <c r="A12" s="14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18</v>
      </c>
      <c r="G12" s="1" t="s">
        <v>19</v>
      </c>
      <c r="H12" s="8" t="s">
        <v>8</v>
      </c>
      <c r="I12" s="8" t="s">
        <v>25</v>
      </c>
      <c r="J12" s="8" t="s">
        <v>9</v>
      </c>
      <c r="K12" s="18" t="s">
        <v>33</v>
      </c>
    </row>
    <row r="13" spans="1:11" x14ac:dyDescent="0.55000000000000004">
      <c r="A13" s="2" t="s">
        <v>20</v>
      </c>
      <c r="B13" s="2">
        <v>-1</v>
      </c>
      <c r="C13" s="2">
        <v>1</v>
      </c>
      <c r="D13" s="2"/>
      <c r="E13" s="2"/>
      <c r="F13" s="2"/>
      <c r="G13" s="2"/>
      <c r="H13" s="2">
        <f>SUMPRODUCT(B13:G13,$B$10:$G$10)</f>
        <v>0</v>
      </c>
      <c r="I13" s="2" t="s">
        <v>26</v>
      </c>
      <c r="J13" s="2">
        <v>0</v>
      </c>
      <c r="K13" s="2" t="b">
        <f>IF(H13&lt;=J13,TRUE,FALSE)</f>
        <v>1</v>
      </c>
    </row>
    <row r="14" spans="1:11" x14ac:dyDescent="0.55000000000000004">
      <c r="A14" s="2" t="s">
        <v>21</v>
      </c>
      <c r="B14" s="2">
        <v>-1</v>
      </c>
      <c r="C14" s="2"/>
      <c r="D14" s="2">
        <v>1</v>
      </c>
      <c r="E14" s="2"/>
      <c r="F14" s="2"/>
      <c r="G14" s="2"/>
      <c r="H14" s="2">
        <f t="shared" ref="H14:H18" si="0">SUMPRODUCT(B14:G14,$B$10:$G$10)</f>
        <v>0</v>
      </c>
      <c r="I14" s="2" t="s">
        <v>26</v>
      </c>
      <c r="J14" s="2">
        <v>0</v>
      </c>
      <c r="K14" s="2" t="b">
        <f t="shared" ref="K14:K18" si="1">IF(H14&lt;=J14,TRUE,FALSE)</f>
        <v>1</v>
      </c>
    </row>
    <row r="15" spans="1:11" x14ac:dyDescent="0.55000000000000004">
      <c r="A15" s="2" t="s">
        <v>22</v>
      </c>
      <c r="B15" s="2"/>
      <c r="C15" s="2"/>
      <c r="D15" s="2"/>
      <c r="E15" s="2">
        <v>1</v>
      </c>
      <c r="F15" s="2"/>
      <c r="G15" s="2">
        <v>-1</v>
      </c>
      <c r="H15" s="2">
        <f t="shared" si="0"/>
        <v>0</v>
      </c>
      <c r="I15" s="2" t="s">
        <v>26</v>
      </c>
      <c r="J15" s="2">
        <v>0</v>
      </c>
      <c r="K15" s="2" t="b">
        <f t="shared" si="1"/>
        <v>1</v>
      </c>
    </row>
    <row r="16" spans="1:11" x14ac:dyDescent="0.55000000000000004">
      <c r="A16" s="2" t="s">
        <v>24</v>
      </c>
      <c r="B16" s="2"/>
      <c r="C16" s="2"/>
      <c r="D16" s="2">
        <v>1</v>
      </c>
      <c r="E16" s="2">
        <v>1</v>
      </c>
      <c r="F16" s="2"/>
      <c r="G16" s="2"/>
      <c r="H16" s="2">
        <f t="shared" si="0"/>
        <v>1</v>
      </c>
      <c r="I16" s="2" t="s">
        <v>26</v>
      </c>
      <c r="J16" s="2">
        <v>1</v>
      </c>
      <c r="K16" s="2" t="b">
        <f t="shared" si="1"/>
        <v>1</v>
      </c>
    </row>
    <row r="17" spans="1:11" x14ac:dyDescent="0.55000000000000004">
      <c r="A17" s="2" t="s">
        <v>23</v>
      </c>
      <c r="B17" s="2"/>
      <c r="C17" s="2">
        <v>1</v>
      </c>
      <c r="D17" s="2">
        <v>1</v>
      </c>
      <c r="E17" s="2"/>
      <c r="F17" s="2"/>
      <c r="G17" s="2"/>
      <c r="H17" s="2">
        <f t="shared" si="0"/>
        <v>0</v>
      </c>
      <c r="I17" s="2" t="s">
        <v>26</v>
      </c>
      <c r="J17" s="9">
        <v>1</v>
      </c>
      <c r="K17" s="2" t="b">
        <f t="shared" si="1"/>
        <v>1</v>
      </c>
    </row>
    <row r="18" spans="1:11" x14ac:dyDescent="0.55000000000000004">
      <c r="A18" s="2" t="s">
        <v>27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f t="shared" si="0"/>
        <v>3</v>
      </c>
      <c r="I18" s="2" t="s">
        <v>26</v>
      </c>
      <c r="J18" s="9">
        <v>3</v>
      </c>
      <c r="K18" s="2" t="b">
        <f t="shared" si="1"/>
        <v>1</v>
      </c>
    </row>
  </sheetData>
  <mergeCells count="2">
    <mergeCell ref="D1:K3"/>
    <mergeCell ref="A9:A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55</vt:i4>
      </vt:variant>
    </vt:vector>
  </HeadingPairs>
  <TitlesOfParts>
    <vt:vector size="74" baseType="lpstr">
      <vt:lpstr>Summary</vt:lpstr>
      <vt:lpstr>Original</vt:lpstr>
      <vt:lpstr>0xxxxx</vt:lpstr>
      <vt:lpstr>1xxxxx</vt:lpstr>
      <vt:lpstr>00xxxx</vt:lpstr>
      <vt:lpstr>01xxxx</vt:lpstr>
      <vt:lpstr>10xxxx</vt:lpstr>
      <vt:lpstr>11xxxx</vt:lpstr>
      <vt:lpstr>110xxx</vt:lpstr>
      <vt:lpstr>111xxx</vt:lpstr>
      <vt:lpstr>1100xx</vt:lpstr>
      <vt:lpstr>1101xx</vt:lpstr>
      <vt:lpstr>110010</vt:lpstr>
      <vt:lpstr>001xxx</vt:lpstr>
      <vt:lpstr>000xxx</vt:lpstr>
      <vt:lpstr>0000xx</vt:lpstr>
      <vt:lpstr>0001xx</vt:lpstr>
      <vt:lpstr>00011x </vt:lpstr>
      <vt:lpstr>000111</vt:lpstr>
      <vt:lpstr>'0000xx'!Bound</vt:lpstr>
      <vt:lpstr>'000111'!Bound</vt:lpstr>
      <vt:lpstr>'00011x '!Bound</vt:lpstr>
      <vt:lpstr>'0001xx'!Bound</vt:lpstr>
      <vt:lpstr>'000xxx'!Bound</vt:lpstr>
      <vt:lpstr>'001xxx'!Bound</vt:lpstr>
      <vt:lpstr>'00xxxx'!Bound</vt:lpstr>
      <vt:lpstr>'01xxxx'!Bound</vt:lpstr>
      <vt:lpstr>'0xxxxx'!Bound</vt:lpstr>
      <vt:lpstr>'10xxxx'!Bound</vt:lpstr>
      <vt:lpstr>'110010'!Bound</vt:lpstr>
      <vt:lpstr>'1100xx'!Bound</vt:lpstr>
      <vt:lpstr>'1101xx'!Bound</vt:lpstr>
      <vt:lpstr>'110xxx'!Bound</vt:lpstr>
      <vt:lpstr>'111xxx'!Bound</vt:lpstr>
      <vt:lpstr>'11xxxx'!Bound</vt:lpstr>
      <vt:lpstr>'1xxxxx'!Bound</vt:lpstr>
      <vt:lpstr>Original!Bound</vt:lpstr>
      <vt:lpstr>'0000xx'!ConstraintsFeasible</vt:lpstr>
      <vt:lpstr>'000111'!ConstraintsFeasible</vt:lpstr>
      <vt:lpstr>'00011x '!ConstraintsFeasible</vt:lpstr>
      <vt:lpstr>'0001xx'!ConstraintsFeasible</vt:lpstr>
      <vt:lpstr>'000xxx'!ConstraintsFeasible</vt:lpstr>
      <vt:lpstr>'001xxx'!ConstraintsFeasible</vt:lpstr>
      <vt:lpstr>'00xxxx'!ConstraintsFeasible</vt:lpstr>
      <vt:lpstr>'01xxxx'!ConstraintsFeasible</vt:lpstr>
      <vt:lpstr>'0xxxxx'!ConstraintsFeasible</vt:lpstr>
      <vt:lpstr>'10xxxx'!ConstraintsFeasible</vt:lpstr>
      <vt:lpstr>'110010'!ConstraintsFeasible</vt:lpstr>
      <vt:lpstr>'1100xx'!ConstraintsFeasible</vt:lpstr>
      <vt:lpstr>'1101xx'!ConstraintsFeasible</vt:lpstr>
      <vt:lpstr>'110xxx'!ConstraintsFeasible</vt:lpstr>
      <vt:lpstr>'111xxx'!ConstraintsFeasible</vt:lpstr>
      <vt:lpstr>'11xxxx'!ConstraintsFeasible</vt:lpstr>
      <vt:lpstr>'1xxxxx'!ConstraintsFeasible</vt:lpstr>
      <vt:lpstr>Original!ConstraintsFeasible</vt:lpstr>
      <vt:lpstr>'0000xx'!Feasible</vt:lpstr>
      <vt:lpstr>'000111'!Feasible</vt:lpstr>
      <vt:lpstr>'00011x '!Feasible</vt:lpstr>
      <vt:lpstr>'0001xx'!Feasible</vt:lpstr>
      <vt:lpstr>'000xxx'!Feasible</vt:lpstr>
      <vt:lpstr>'001xxx'!Feasible</vt:lpstr>
      <vt:lpstr>'00xxxx'!Feasible</vt:lpstr>
      <vt:lpstr>'01xxxx'!Feasible</vt:lpstr>
      <vt:lpstr>'0xxxxx'!Feasible</vt:lpstr>
      <vt:lpstr>'10xxxx'!Feasible</vt:lpstr>
      <vt:lpstr>'110010'!Feasible</vt:lpstr>
      <vt:lpstr>'1100xx'!Feasible</vt:lpstr>
      <vt:lpstr>'1101xx'!Feasible</vt:lpstr>
      <vt:lpstr>'110xxx'!Feasible</vt:lpstr>
      <vt:lpstr>'111xxx'!Feasible</vt:lpstr>
      <vt:lpstr>'11xxxx'!Feasible</vt:lpstr>
      <vt:lpstr>'1xxxxx'!Feasible</vt:lpstr>
      <vt:lpstr>Original!Feasible</vt:lpstr>
      <vt:lpstr>Summary!HeadProblem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VJ</cp:lastModifiedBy>
  <dcterms:created xsi:type="dcterms:W3CDTF">2016-09-23T16:50:52Z</dcterms:created>
  <dcterms:modified xsi:type="dcterms:W3CDTF">2016-10-14T19:25:55Z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e4db6787-6e24-481b-9b18-f152c964d6fb</vt:lpwstr>
  </property>
</Properties>
</file>