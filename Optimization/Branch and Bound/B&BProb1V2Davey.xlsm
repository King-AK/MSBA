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VJ\Documents\MSBA\Optimization\Branch and Bound\"/>
    </mc:Choice>
  </mc:AlternateContent>
  <bookViews>
    <workbookView xWindow="0" yWindow="0" windowWidth="23040" windowHeight="8232"/>
  </bookViews>
  <sheets>
    <sheet name="Summary" sheetId="5" r:id="rId1"/>
    <sheet name="Original" sheetId="1" r:id="rId2"/>
    <sheet name="0xxx" sheetId="6" r:id="rId3"/>
    <sheet name="10xx" sheetId="8" r:id="rId4"/>
    <sheet name="111x" sheetId="9" r:id="rId5"/>
    <sheet name="1110" sheetId="10" r:id="rId6"/>
  </sheets>
  <definedNames>
    <definedName name="Bound" localSheetId="2">'0xxx'!$B$2</definedName>
    <definedName name="Bound" localSheetId="3">'10xx'!$B$2</definedName>
    <definedName name="Bound" localSheetId="5">'1110'!$B$2</definedName>
    <definedName name="Bound" localSheetId="4">'111x'!$B$2</definedName>
    <definedName name="Bound" localSheetId="1">Original!$B$2</definedName>
    <definedName name="ConstraintsFeasible" localSheetId="2">'0xxx'!$B$4</definedName>
    <definedName name="ConstraintsFeasible" localSheetId="3">'10xx'!$B$4</definedName>
    <definedName name="ConstraintsFeasible" localSheetId="5">'1110'!$B$4</definedName>
    <definedName name="ConstraintsFeasible" localSheetId="4">'111x'!$B$4</definedName>
    <definedName name="ConstraintsFeasible" localSheetId="1">Original!$B$4</definedName>
    <definedName name="Feasible" localSheetId="2">'0xxx'!$B$3</definedName>
    <definedName name="Feasible" localSheetId="3">'10xx'!$B$3</definedName>
    <definedName name="Feasible" localSheetId="5">'1110'!$B$3</definedName>
    <definedName name="Feasible" localSheetId="4">'111x'!$B$3</definedName>
    <definedName name="Feasible" localSheetId="1">Original!$B$3</definedName>
    <definedName name="HeadProblem" localSheetId="2">#REF!</definedName>
    <definedName name="HeadProblem" localSheetId="3">#REF!</definedName>
    <definedName name="HeadProblem" localSheetId="5">#REF!</definedName>
    <definedName name="HeadProblem" localSheetId="4">#REF!</definedName>
    <definedName name="HeadProblem" localSheetId="0">Summary!$A$3</definedName>
    <definedName name="HeadProblem">#REF!</definedName>
    <definedName name="sheetRange" localSheetId="0">OFFSET(Summary!HeadProblem,1,0,COUNTA(OFFSET(Summary!HeadProblem,1,0,ROWS(Summary!XEZ:XEZ)-ROW(Summary!HeadProblem))),1)</definedName>
    <definedName name="solver_adj" localSheetId="2" hidden="1">'0xxx'!$C$10:$E$10</definedName>
    <definedName name="solver_adj" localSheetId="3" hidden="1">'10xx'!$D$10:$E$10</definedName>
    <definedName name="solver_adj" localSheetId="5" hidden="1">'1110'!$B$10:$E$10</definedName>
    <definedName name="solver_adj" localSheetId="4" hidden="1">'111x'!$E$10</definedName>
    <definedName name="solver_adj" localSheetId="1" hidden="1">Original!$B$10:$E$10</definedName>
    <definedName name="solver_cvg" localSheetId="2" hidden="1">0.0001</definedName>
    <definedName name="solver_cvg" localSheetId="3" hidden="1">0.0001</definedName>
    <definedName name="solver_cvg" localSheetId="5" hidden="1">0.0001</definedName>
    <definedName name="solver_cvg" localSheetId="4" hidden="1">0.0001</definedName>
    <definedName name="solver_cvg" localSheetId="1" hidden="1">0.0001</definedName>
    <definedName name="solver_drv" localSheetId="2" hidden="1">1</definedName>
    <definedName name="solver_drv" localSheetId="3" hidden="1">1</definedName>
    <definedName name="solver_drv" localSheetId="5" hidden="1">1</definedName>
    <definedName name="solver_drv" localSheetId="4" hidden="1">1</definedName>
    <definedName name="solver_drv" localSheetId="1" hidden="1">1</definedName>
    <definedName name="solver_eng" localSheetId="2" hidden="1">2</definedName>
    <definedName name="solver_eng" localSheetId="3" hidden="1">2</definedName>
    <definedName name="solver_eng" localSheetId="5" hidden="1">2</definedName>
    <definedName name="solver_eng" localSheetId="4" hidden="1">2</definedName>
    <definedName name="solver_eng" localSheetId="1" hidden="1">2</definedName>
    <definedName name="solver_est" localSheetId="2" hidden="1">1</definedName>
    <definedName name="solver_est" localSheetId="3" hidden="1">1</definedName>
    <definedName name="solver_est" localSheetId="5" hidden="1">1</definedName>
    <definedName name="solver_est" localSheetId="4" hidden="1">1</definedName>
    <definedName name="solver_est" localSheetId="1" hidden="1">1</definedName>
    <definedName name="solver_itr" localSheetId="2" hidden="1">2147483647</definedName>
    <definedName name="solver_itr" localSheetId="3" hidden="1">2147483647</definedName>
    <definedName name="solver_itr" localSheetId="5" hidden="1">2147483647</definedName>
    <definedName name="solver_itr" localSheetId="4" hidden="1">2147483647</definedName>
    <definedName name="solver_itr" localSheetId="1" hidden="1">2147483647</definedName>
    <definedName name="solver_lhs1" localSheetId="2" hidden="1">'0xxx'!$B$10:$E$10</definedName>
    <definedName name="solver_lhs1" localSheetId="3" hidden="1">'10xx'!$B$10:$E$10</definedName>
    <definedName name="solver_lhs1" localSheetId="5" hidden="1">'1110'!$B$10:$E$10</definedName>
    <definedName name="solver_lhs1" localSheetId="4" hidden="1">'111x'!$B$10:$E$10</definedName>
    <definedName name="solver_lhs1" localSheetId="1" hidden="1">Original!$B$10:$E$10</definedName>
    <definedName name="solver_lhs2" localSheetId="2" hidden="1">'0xxx'!$B$10:$E$10</definedName>
    <definedName name="solver_lhs2" localSheetId="3" hidden="1">'10xx'!$B$10:$E$10</definedName>
    <definedName name="solver_lhs2" localSheetId="5" hidden="1">'1110'!$B$10:$E$10</definedName>
    <definedName name="solver_lhs2" localSheetId="4" hidden="1">'111x'!$B$10:$E$10</definedName>
    <definedName name="solver_lhs2" localSheetId="1" hidden="1">Original!$B$10:$E$10</definedName>
    <definedName name="solver_lhs3" localSheetId="2" hidden="1">'0xxx'!$F$13:$F$20</definedName>
    <definedName name="solver_lhs3" localSheetId="3" hidden="1">'10xx'!$F$13:$F$20</definedName>
    <definedName name="solver_lhs3" localSheetId="5" hidden="1">'1110'!$F$13:$F$20</definedName>
    <definedName name="solver_lhs3" localSheetId="4" hidden="1">'111x'!$F$13:$F$20</definedName>
    <definedName name="solver_lhs3" localSheetId="1" hidden="1">Original!$F$13:$F$20</definedName>
    <definedName name="solver_mip" localSheetId="2" hidden="1">2147483647</definedName>
    <definedName name="solver_mip" localSheetId="3" hidden="1">2147483647</definedName>
    <definedName name="solver_mip" localSheetId="5" hidden="1">2147483647</definedName>
    <definedName name="solver_mip" localSheetId="4" hidden="1">2147483647</definedName>
    <definedName name="solver_mip" localSheetId="1" hidden="1">2147483647</definedName>
    <definedName name="solver_mni" localSheetId="2" hidden="1">30</definedName>
    <definedName name="solver_mni" localSheetId="3" hidden="1">30</definedName>
    <definedName name="solver_mni" localSheetId="5" hidden="1">30</definedName>
    <definedName name="solver_mni" localSheetId="4" hidden="1">30</definedName>
    <definedName name="solver_mni" localSheetId="1" hidden="1">30</definedName>
    <definedName name="solver_mrt" localSheetId="2" hidden="1">0.075</definedName>
    <definedName name="solver_mrt" localSheetId="3" hidden="1">0.075</definedName>
    <definedName name="solver_mrt" localSheetId="5" hidden="1">0.075</definedName>
    <definedName name="solver_mrt" localSheetId="4" hidden="1">0.075</definedName>
    <definedName name="solver_mrt" localSheetId="1" hidden="1">0.075</definedName>
    <definedName name="solver_msl" localSheetId="2" hidden="1">2</definedName>
    <definedName name="solver_msl" localSheetId="3" hidden="1">2</definedName>
    <definedName name="solver_msl" localSheetId="5" hidden="1">2</definedName>
    <definedName name="solver_msl" localSheetId="4" hidden="1">2</definedName>
    <definedName name="solver_msl" localSheetId="1" hidden="1">2</definedName>
    <definedName name="solver_neg" localSheetId="2" hidden="1">1</definedName>
    <definedName name="solver_neg" localSheetId="3" hidden="1">1</definedName>
    <definedName name="solver_neg" localSheetId="5" hidden="1">1</definedName>
    <definedName name="solver_neg" localSheetId="4" hidden="1">1</definedName>
    <definedName name="solver_neg" localSheetId="1" hidden="1">1</definedName>
    <definedName name="solver_nod" localSheetId="2" hidden="1">2147483647</definedName>
    <definedName name="solver_nod" localSheetId="3" hidden="1">2147483647</definedName>
    <definedName name="solver_nod" localSheetId="5" hidden="1">2147483647</definedName>
    <definedName name="solver_nod" localSheetId="4" hidden="1">2147483647</definedName>
    <definedName name="solver_nod" localSheetId="1" hidden="1">2147483647</definedName>
    <definedName name="solver_num" localSheetId="2" hidden="1">3</definedName>
    <definedName name="solver_num" localSheetId="3" hidden="1">3</definedName>
    <definedName name="solver_num" localSheetId="5" hidden="1">3</definedName>
    <definedName name="solver_num" localSheetId="4" hidden="1">3</definedName>
    <definedName name="solver_num" localSheetId="1" hidden="1">3</definedName>
    <definedName name="solver_nwt" localSheetId="2" hidden="1">1</definedName>
    <definedName name="solver_nwt" localSheetId="3" hidden="1">1</definedName>
    <definedName name="solver_nwt" localSheetId="5" hidden="1">1</definedName>
    <definedName name="solver_nwt" localSheetId="4" hidden="1">1</definedName>
    <definedName name="solver_nwt" localSheetId="1" hidden="1">1</definedName>
    <definedName name="solver_opt" localSheetId="2" hidden="1">'0xxx'!$B$1</definedName>
    <definedName name="solver_opt" localSheetId="3" hidden="1">'10xx'!$B$1</definedName>
    <definedName name="solver_opt" localSheetId="5" hidden="1">'1110'!$B$1</definedName>
    <definedName name="solver_opt" localSheetId="4" hidden="1">'111x'!$B$1</definedName>
    <definedName name="solver_opt" localSheetId="1" hidden="1">Original!$B$1</definedName>
    <definedName name="solver_pre" localSheetId="2" hidden="1">0.000001</definedName>
    <definedName name="solver_pre" localSheetId="3" hidden="1">0.000001</definedName>
    <definedName name="solver_pre" localSheetId="5" hidden="1">0.000001</definedName>
    <definedName name="solver_pre" localSheetId="4" hidden="1">0.000001</definedName>
    <definedName name="solver_pre" localSheetId="1" hidden="1">0.000001</definedName>
    <definedName name="solver_rbv" localSheetId="2" hidden="1">2</definedName>
    <definedName name="solver_rbv" localSheetId="3" hidden="1">2</definedName>
    <definedName name="solver_rbv" localSheetId="5" hidden="1">2</definedName>
    <definedName name="solver_rbv" localSheetId="4" hidden="1">2</definedName>
    <definedName name="solver_rbv" localSheetId="1" hidden="1">2</definedName>
    <definedName name="solver_rel1" localSheetId="2" hidden="1">1</definedName>
    <definedName name="solver_rel1" localSheetId="3" hidden="1">1</definedName>
    <definedName name="solver_rel1" localSheetId="5" hidden="1">1</definedName>
    <definedName name="solver_rel1" localSheetId="4" hidden="1">1</definedName>
    <definedName name="solver_rel1" localSheetId="1" hidden="1">1</definedName>
    <definedName name="solver_rel2" localSheetId="2" hidden="1">3</definedName>
    <definedName name="solver_rel2" localSheetId="3" hidden="1">3</definedName>
    <definedName name="solver_rel2" localSheetId="5" hidden="1">3</definedName>
    <definedName name="solver_rel2" localSheetId="4" hidden="1">3</definedName>
    <definedName name="solver_rel2" localSheetId="1" hidden="1">3</definedName>
    <definedName name="solver_rel3" localSheetId="2" hidden="1">2</definedName>
    <definedName name="solver_rel3" localSheetId="3" hidden="1">2</definedName>
    <definedName name="solver_rel3" localSheetId="5" hidden="1">2</definedName>
    <definedName name="solver_rel3" localSheetId="4" hidden="1">2</definedName>
    <definedName name="solver_rel3" localSheetId="1" hidden="1">2</definedName>
    <definedName name="solver_rhs1" localSheetId="2" hidden="1">1</definedName>
    <definedName name="solver_rhs1" localSheetId="3" hidden="1">1</definedName>
    <definedName name="solver_rhs1" localSheetId="5" hidden="1">1</definedName>
    <definedName name="solver_rhs1" localSheetId="4" hidden="1">1</definedName>
    <definedName name="solver_rhs1" localSheetId="1" hidden="1">1</definedName>
    <definedName name="solver_rhs2" localSheetId="2" hidden="1">0</definedName>
    <definedName name="solver_rhs2" localSheetId="3" hidden="1">0</definedName>
    <definedName name="solver_rhs2" localSheetId="5" hidden="1">0</definedName>
    <definedName name="solver_rhs2" localSheetId="4" hidden="1">0</definedName>
    <definedName name="solver_rhs2" localSheetId="1" hidden="1">0</definedName>
    <definedName name="solver_rhs3" localSheetId="2" hidden="1">'0xxx'!$G$13:$G$20</definedName>
    <definedName name="solver_rhs3" localSheetId="3" hidden="1">'10xx'!$G$13:$G$20</definedName>
    <definedName name="solver_rhs3" localSheetId="5" hidden="1">'1110'!$G$13:$G$20</definedName>
    <definedName name="solver_rhs3" localSheetId="4" hidden="1">'111x'!$G$13:$G$20</definedName>
    <definedName name="solver_rhs3" localSheetId="1" hidden="1">Original!$G$13:$G$20</definedName>
    <definedName name="solver_rlx" localSheetId="2" hidden="1">2</definedName>
    <definedName name="solver_rlx" localSheetId="3" hidden="1">2</definedName>
    <definedName name="solver_rlx" localSheetId="5" hidden="1">2</definedName>
    <definedName name="solver_rlx" localSheetId="4" hidden="1">2</definedName>
    <definedName name="solver_rlx" localSheetId="1" hidden="1">2</definedName>
    <definedName name="solver_rsd" localSheetId="2" hidden="1">0</definedName>
    <definedName name="solver_rsd" localSheetId="3" hidden="1">0</definedName>
    <definedName name="solver_rsd" localSheetId="5" hidden="1">0</definedName>
    <definedName name="solver_rsd" localSheetId="4" hidden="1">0</definedName>
    <definedName name="solver_rsd" localSheetId="1" hidden="1">0</definedName>
    <definedName name="solver_scl" localSheetId="2" hidden="1">2</definedName>
    <definedName name="solver_scl" localSheetId="3" hidden="1">2</definedName>
    <definedName name="solver_scl" localSheetId="5" hidden="1">2</definedName>
    <definedName name="solver_scl" localSheetId="4" hidden="1">2</definedName>
    <definedName name="solver_scl" localSheetId="1" hidden="1">2</definedName>
    <definedName name="solver_sho" localSheetId="2" hidden="1">2</definedName>
    <definedName name="solver_sho" localSheetId="3" hidden="1">2</definedName>
    <definedName name="solver_sho" localSheetId="5" hidden="1">2</definedName>
    <definedName name="solver_sho" localSheetId="4" hidden="1">2</definedName>
    <definedName name="solver_sho" localSheetId="1" hidden="1">2</definedName>
    <definedName name="solver_ssz" localSheetId="2" hidden="1">0</definedName>
    <definedName name="solver_ssz" localSheetId="3" hidden="1">0</definedName>
    <definedName name="solver_ssz" localSheetId="5" hidden="1">0</definedName>
    <definedName name="solver_ssz" localSheetId="4" hidden="1">0</definedName>
    <definedName name="solver_ssz" localSheetId="1" hidden="1">0</definedName>
    <definedName name="solver_tim" localSheetId="2" hidden="1">2147483647</definedName>
    <definedName name="solver_tim" localSheetId="3" hidden="1">2147483647</definedName>
    <definedName name="solver_tim" localSheetId="5" hidden="1">2147483647</definedName>
    <definedName name="solver_tim" localSheetId="4" hidden="1">2147483647</definedName>
    <definedName name="solver_tim" localSheetId="1" hidden="1">2147483647</definedName>
    <definedName name="solver_tol" localSheetId="2" hidden="1">0.01</definedName>
    <definedName name="solver_tol" localSheetId="3" hidden="1">0.01</definedName>
    <definedName name="solver_tol" localSheetId="5" hidden="1">0.01</definedName>
    <definedName name="solver_tol" localSheetId="4" hidden="1">0.01</definedName>
    <definedName name="solver_tol" localSheetId="1" hidden="1">0.01</definedName>
    <definedName name="solver_typ" localSheetId="2" hidden="1">1</definedName>
    <definedName name="solver_typ" localSheetId="3" hidden="1">1</definedName>
    <definedName name="solver_typ" localSheetId="5" hidden="1">1</definedName>
    <definedName name="solver_typ" localSheetId="4" hidden="1">1</definedName>
    <definedName name="solver_typ" localSheetId="1" hidden="1">1</definedName>
    <definedName name="solver_typ" localSheetId="0" hidden="1">2</definedName>
    <definedName name="solver_val" localSheetId="2" hidden="1">0</definedName>
    <definedName name="solver_val" localSheetId="3" hidden="1">0</definedName>
    <definedName name="solver_val" localSheetId="5" hidden="1">0</definedName>
    <definedName name="solver_val" localSheetId="4" hidden="1">0</definedName>
    <definedName name="solver_val" localSheetId="1" hidden="1">0</definedName>
    <definedName name="solver_ver" localSheetId="2" hidden="1">3</definedName>
    <definedName name="solver_ver" localSheetId="3" hidden="1">3</definedName>
    <definedName name="solver_ver" localSheetId="5" hidden="1">3</definedName>
    <definedName name="solver_ver" localSheetId="4" hidden="1">3</definedName>
    <definedName name="solver_ver" localSheetId="1" hidden="1">3</definedName>
    <definedName name="solver_ver" localSheetId="0" hidden="1">16</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0" i="10" l="1"/>
  <c r="H20" i="10" s="1"/>
  <c r="F19" i="10"/>
  <c r="H19" i="10" s="1"/>
  <c r="F18" i="10"/>
  <c r="H18" i="10" s="1"/>
  <c r="F17" i="10"/>
  <c r="H17" i="10" s="1"/>
  <c r="F16" i="10"/>
  <c r="H16" i="10" s="1"/>
  <c r="F15" i="10"/>
  <c r="H15" i="10" s="1"/>
  <c r="F14" i="10"/>
  <c r="H14" i="10" s="1"/>
  <c r="F13" i="10"/>
  <c r="H13" i="10" s="1"/>
  <c r="B4" i="10" s="1"/>
  <c r="B3" i="10"/>
  <c r="B1" i="10"/>
  <c r="B2" i="10" s="1"/>
  <c r="F20" i="9"/>
  <c r="H20" i="9" s="1"/>
  <c r="F19" i="9"/>
  <c r="H19" i="9" s="1"/>
  <c r="F18" i="9"/>
  <c r="H18" i="9" s="1"/>
  <c r="F17" i="9"/>
  <c r="H17" i="9" s="1"/>
  <c r="F16" i="9"/>
  <c r="H16" i="9" s="1"/>
  <c r="F15" i="9"/>
  <c r="H15" i="9" s="1"/>
  <c r="F14" i="9"/>
  <c r="H14" i="9" s="1"/>
  <c r="F13" i="9"/>
  <c r="H13" i="9" s="1"/>
  <c r="B3" i="9"/>
  <c r="B1" i="9"/>
  <c r="B2" i="9" s="1"/>
  <c r="F20" i="8"/>
  <c r="H20" i="8" s="1"/>
  <c r="F19" i="8"/>
  <c r="H19" i="8" s="1"/>
  <c r="F18" i="8"/>
  <c r="H18" i="8" s="1"/>
  <c r="F17" i="8"/>
  <c r="H17" i="8" s="1"/>
  <c r="F16" i="8"/>
  <c r="H16" i="8" s="1"/>
  <c r="F15" i="8"/>
  <c r="H15" i="8" s="1"/>
  <c r="F14" i="8"/>
  <c r="H14" i="8" s="1"/>
  <c r="F13" i="8"/>
  <c r="H13" i="8" s="1"/>
  <c r="B3" i="8"/>
  <c r="B1" i="8"/>
  <c r="B2" i="8" s="1"/>
  <c r="F20" i="6"/>
  <c r="H20" i="6" s="1"/>
  <c r="F19" i="6"/>
  <c r="H19" i="6" s="1"/>
  <c r="F18" i="6"/>
  <c r="H18" i="6" s="1"/>
  <c r="F17" i="6"/>
  <c r="H17" i="6" s="1"/>
  <c r="F16" i="6"/>
  <c r="H16" i="6" s="1"/>
  <c r="F15" i="6"/>
  <c r="H15" i="6" s="1"/>
  <c r="F14" i="6"/>
  <c r="H14" i="6" s="1"/>
  <c r="F13" i="6"/>
  <c r="H13" i="6" s="1"/>
  <c r="B3" i="6"/>
  <c r="B1" i="6"/>
  <c r="B2" i="6" s="1"/>
  <c r="B4" i="9" l="1"/>
  <c r="B4" i="8"/>
  <c r="B4" i="6"/>
  <c r="F9" i="5" l="1"/>
  <c r="F10" i="5"/>
  <c r="F11" i="5"/>
  <c r="F12" i="5"/>
  <c r="F13" i="5"/>
  <c r="F14" i="5"/>
  <c r="F15" i="5"/>
  <c r="F16" i="5"/>
  <c r="F17" i="5"/>
  <c r="F18" i="5"/>
  <c r="F19" i="5"/>
  <c r="D19" i="5" l="1"/>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C8" i="5"/>
  <c r="D8" i="5"/>
  <c r="D7" i="5"/>
  <c r="B8" i="5"/>
  <c r="C5" i="5"/>
  <c r="D5" i="5"/>
  <c r="C7" i="5"/>
  <c r="C6" i="5"/>
  <c r="B5" i="5"/>
  <c r="D6" i="5"/>
  <c r="B6" i="5"/>
  <c r="B7" i="5"/>
  <c r="F5" i="5" l="1"/>
  <c r="F8" i="5"/>
  <c r="F7" i="5"/>
  <c r="F6" i="5"/>
  <c r="B3" i="1"/>
  <c r="F17" i="1"/>
  <c r="H17" i="1" s="1"/>
  <c r="F18" i="1"/>
  <c r="H18" i="1" s="1"/>
  <c r="F19" i="1"/>
  <c r="H19" i="1" s="1"/>
  <c r="F20" i="1"/>
  <c r="H20" i="1" s="1"/>
  <c r="F14" i="1"/>
  <c r="H14" i="1" s="1"/>
  <c r="F15" i="1"/>
  <c r="H15" i="1" s="1"/>
  <c r="F16" i="1"/>
  <c r="H16" i="1" s="1"/>
  <c r="F13" i="1"/>
  <c r="H13" i="1" s="1"/>
  <c r="B1" i="1"/>
  <c r="B2" i="1" s="1"/>
  <c r="B4" i="5"/>
  <c r="D4" i="5"/>
  <c r="B4" i="1" l="1"/>
  <c r="C4" i="5"/>
  <c r="F4" i="5" l="1"/>
  <c r="F2" i="5" s="1"/>
  <c r="E5" i="5" s="1"/>
  <c r="E19" i="5" l="1"/>
  <c r="E11" i="5"/>
  <c r="E14" i="5"/>
  <c r="E16" i="5"/>
  <c r="E7" i="5"/>
  <c r="E18" i="5"/>
  <c r="E12" i="5"/>
  <c r="E10" i="5"/>
  <c r="E15" i="5"/>
  <c r="E6" i="5"/>
  <c r="E8" i="5"/>
  <c r="E9" i="5"/>
  <c r="E13" i="5"/>
  <c r="E17" i="5"/>
  <c r="E4" i="5"/>
</calcChain>
</file>

<file path=xl/sharedStrings.xml><?xml version="1.0" encoding="utf-8"?>
<sst xmlns="http://schemas.openxmlformats.org/spreadsheetml/2006/main" count="168" uniqueCount="43">
  <si>
    <t>Objective Function</t>
  </si>
  <si>
    <t>Decision Variables</t>
  </si>
  <si>
    <t>Constraints</t>
  </si>
  <si>
    <r>
      <rPr>
        <i/>
        <sz val="12"/>
        <color theme="1"/>
        <rFont val="Times New Roman"/>
        <family val="1"/>
      </rPr>
      <t>x</t>
    </r>
    <r>
      <rPr>
        <vertAlign val="subscript"/>
        <sz val="12"/>
        <color theme="1"/>
        <rFont val="Times New Roman"/>
        <family val="1"/>
      </rPr>
      <t>1</t>
    </r>
  </si>
  <si>
    <r>
      <rPr>
        <i/>
        <sz val="12"/>
        <color theme="1"/>
        <rFont val="Times New Roman"/>
        <family val="1"/>
      </rPr>
      <t>x</t>
    </r>
    <r>
      <rPr>
        <vertAlign val="subscript"/>
        <sz val="12"/>
        <color theme="1"/>
        <rFont val="Times New Roman"/>
        <family val="1"/>
      </rPr>
      <t>2</t>
    </r>
    <r>
      <rPr>
        <sz val="12"/>
        <color theme="1"/>
        <rFont val="Times New Roman"/>
        <family val="2"/>
      </rPr>
      <t/>
    </r>
  </si>
  <si>
    <r>
      <rPr>
        <i/>
        <sz val="12"/>
        <color theme="1"/>
        <rFont val="Times New Roman"/>
        <family val="1"/>
      </rPr>
      <t>x</t>
    </r>
    <r>
      <rPr>
        <vertAlign val="subscript"/>
        <sz val="12"/>
        <color theme="1"/>
        <rFont val="Times New Roman"/>
        <family val="1"/>
      </rPr>
      <t>3</t>
    </r>
    <r>
      <rPr>
        <sz val="12"/>
        <color theme="1"/>
        <rFont val="Times New Roman"/>
        <family val="2"/>
      </rPr>
      <t/>
    </r>
  </si>
  <si>
    <r>
      <rPr>
        <i/>
        <sz val="12"/>
        <color theme="1"/>
        <rFont val="Times New Roman"/>
        <family val="1"/>
      </rPr>
      <t>x</t>
    </r>
    <r>
      <rPr>
        <vertAlign val="subscript"/>
        <sz val="12"/>
        <color theme="1"/>
        <rFont val="Times New Roman"/>
        <family val="1"/>
      </rPr>
      <t>4</t>
    </r>
    <r>
      <rPr>
        <sz val="12"/>
        <color theme="1"/>
        <rFont val="Times New Roman"/>
        <family val="2"/>
      </rPr>
      <t/>
    </r>
  </si>
  <si>
    <t>Objective Function Coefficients</t>
  </si>
  <si>
    <t>LHS Value</t>
  </si>
  <si>
    <t>RHS Constraint</t>
  </si>
  <si>
    <t>Bound</t>
  </si>
  <si>
    <t>red font indicates variables fixed to a particular value</t>
  </si>
  <si>
    <t>Problem</t>
  </si>
  <si>
    <t>Upper Bound</t>
  </si>
  <si>
    <t>Fathom Branch?</t>
  </si>
  <si>
    <t>Max. Feasible Soln.</t>
  </si>
  <si>
    <t>Feasible Binary Solutions</t>
  </si>
  <si>
    <t>Smith</t>
  </si>
  <si>
    <t>Jones</t>
  </si>
  <si>
    <t>Brown</t>
  </si>
  <si>
    <t>Kim</t>
  </si>
  <si>
    <t>Lee</t>
  </si>
  <si>
    <t>Schmidt</t>
  </si>
  <si>
    <t>Guerrero</t>
  </si>
  <si>
    <t>Isanovich</t>
  </si>
  <si>
    <t>Original</t>
  </si>
  <si>
    <t>This is a "Set Cover" Problem where there are 4 possible crew schedules for landscaping clients' properties.  The decision variables represent the choice of each possible crew schedule.  The 1s in the constraint range indicate which clients' yards are on which schedule and the constraints reflect that each yard must be included in at least one of the selected crew schedules.</t>
  </si>
  <si>
    <t>BIP Feasible?</t>
  </si>
  <si>
    <t>Constraints Feasible?</t>
  </si>
  <si>
    <t>Binary Feasible?</t>
  </si>
  <si>
    <t>Constraint Feasible?</t>
  </si>
  <si>
    <t>Constraint Satisfied?</t>
  </si>
  <si>
    <t>first take the whole problem, don’t set any variables and run a linear program</t>
  </si>
  <si>
    <t>after finding something is infeasible, set one of the decision variables to 0 and 1, (create a new worksheet)</t>
  </si>
  <si>
    <t>0xxx</t>
  </si>
  <si>
    <t>10xx</t>
  </si>
  <si>
    <t>111x</t>
  </si>
  <si>
    <t>SOLTION</t>
  </si>
  <si>
    <t xml:space="preserve">Optimal Objective Value </t>
  </si>
  <si>
    <r>
      <rPr>
        <i/>
        <sz val="12"/>
        <rFont val="Times New Roman"/>
        <family val="2"/>
      </rPr>
      <t>x</t>
    </r>
    <r>
      <rPr>
        <vertAlign val="subscript"/>
        <sz val="12"/>
        <rFont val="Times New Roman"/>
        <family val="2"/>
      </rPr>
      <t>1</t>
    </r>
  </si>
  <si>
    <r>
      <rPr>
        <i/>
        <sz val="12"/>
        <rFont val="Times New Roman"/>
        <family val="2"/>
      </rPr>
      <t>x</t>
    </r>
    <r>
      <rPr>
        <vertAlign val="subscript"/>
        <sz val="12"/>
        <rFont val="Times New Roman"/>
        <family val="2"/>
      </rPr>
      <t>2</t>
    </r>
    <r>
      <rPr>
        <sz val="12"/>
        <color theme="1"/>
        <rFont val="Times New Roman"/>
        <family val="2"/>
      </rPr>
      <t/>
    </r>
  </si>
  <si>
    <r>
      <rPr>
        <i/>
        <sz val="12"/>
        <rFont val="Times New Roman"/>
        <family val="2"/>
      </rPr>
      <t>x</t>
    </r>
    <r>
      <rPr>
        <vertAlign val="subscript"/>
        <sz val="12"/>
        <rFont val="Times New Roman"/>
        <family val="2"/>
      </rPr>
      <t>3</t>
    </r>
    <r>
      <rPr>
        <sz val="12"/>
        <color theme="1"/>
        <rFont val="Times New Roman"/>
        <family val="2"/>
      </rPr>
      <t/>
    </r>
  </si>
  <si>
    <r>
      <rPr>
        <i/>
        <sz val="12"/>
        <rFont val="Times New Roman"/>
        <family val="2"/>
      </rPr>
      <t>x</t>
    </r>
    <r>
      <rPr>
        <vertAlign val="subscript"/>
        <sz val="12"/>
        <rFont val="Times New Roman"/>
        <family val="2"/>
      </rPr>
      <t>4</t>
    </r>
    <r>
      <rPr>
        <sz val="12"/>
        <color theme="1"/>
        <rFont val="Times New Roman"/>
        <family val="2"/>
      </rPr>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</si>
</sst>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2"/>
      <color theme="1"/>
      <name val="Times New Roman"/>
      <family val="2"/>
    </font>
    <font>
      <sz val="12"/>
      <color rgb="FFFF0000"/>
      <name val="Times New Roman"/>
      <family val="2"/>
    </font>
    <font>
      <vertAlign val="subscript"/>
      <sz val="12"/>
      <color theme="1"/>
      <name val="Times New Roman"/>
      <family val="1"/>
    </font>
    <font>
      <i/>
      <sz val="12"/>
      <color theme="1"/>
      <name val="Times New Roman"/>
      <family val="1"/>
    </font>
    <font>
      <sz val="12"/>
      <color theme="1"/>
      <name val="Times New Roman"/>
      <family val="1"/>
    </font>
    <font>
      <b/>
      <sz val="12"/>
      <color theme="1"/>
      <name val="Times New Roman"/>
      <family val="1"/>
    </font>
    <font>
      <sz val="12"/>
      <color rgb="FFFF0000"/>
      <name val="Times New Roman"/>
      <family val="1"/>
    </font>
    <font>
      <sz val="12"/>
      <name val="Times New Roman"/>
      <family val="2"/>
    </font>
    <font>
      <i/>
      <sz val="12"/>
      <name val="Times New Roman"/>
      <family val="2"/>
    </font>
    <font>
      <vertAlign val="subscript"/>
      <sz val="12"/>
      <name val="Times New Roman"/>
      <family val="2"/>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7">
    <xf numFmtId="0" fontId="0" fillId="0" borderId="0" xfId="0"/>
    <xf numFmtId="0" fontId="4" fillId="0" borderId="1" xfId="0" applyFont="1" applyBorder="1" applyAlignment="1">
      <alignment horizontal="center"/>
    </xf>
    <xf numFmtId="0" fontId="0" fillId="0" borderId="1" xfId="0" applyBorder="1"/>
    <xf numFmtId="0" fontId="0" fillId="0" borderId="1" xfId="0" applyBorder="1" applyAlignment="1">
      <alignment horizontal="center" wrapText="1"/>
    </xf>
    <xf numFmtId="0" fontId="0" fillId="0" borderId="0" xfId="0" applyBorder="1" applyAlignment="1">
      <alignment horizontal="center" wrapText="1"/>
    </xf>
    <xf numFmtId="0" fontId="0" fillId="0" borderId="0" xfId="0" applyBorder="1"/>
    <xf numFmtId="0" fontId="0" fillId="0" borderId="1" xfId="0" applyBorder="1" applyAlignment="1">
      <alignment horizontal="center" vertical="center" wrapText="1"/>
    </xf>
    <xf numFmtId="0" fontId="0" fillId="0" borderId="1" xfId="0" applyBorder="1" applyAlignment="1">
      <alignment vertical="center"/>
    </xf>
    <xf numFmtId="0" fontId="4" fillId="0" borderId="1" xfId="0" applyFont="1" applyFill="1" applyBorder="1" applyAlignment="1">
      <alignment horizontal="center"/>
    </xf>
    <xf numFmtId="0" fontId="0" fillId="0" borderId="1" xfId="0" applyFill="1" applyBorder="1"/>
    <xf numFmtId="0" fontId="1" fillId="0" borderId="0" xfId="0" applyFont="1"/>
    <xf numFmtId="0" fontId="5" fillId="0" borderId="1" xfId="0" applyFont="1" applyBorder="1" applyAlignment="1">
      <alignment horizontal="center"/>
    </xf>
    <xf numFmtId="0" fontId="5" fillId="0" borderId="1" xfId="0" applyFont="1" applyFill="1" applyBorder="1" applyAlignment="1">
      <alignment horizontal="center" wrapText="1"/>
    </xf>
    <xf numFmtId="0" fontId="0" fillId="0" borderId="1" xfId="0" applyBorder="1" applyAlignment="1">
      <alignment horizontal="center" wrapText="1"/>
    </xf>
    <xf numFmtId="0" fontId="5" fillId="0" borderId="1" xfId="0" applyFont="1" applyBorder="1" applyAlignment="1">
      <alignment horizontal="center" wrapText="1"/>
    </xf>
    <xf numFmtId="0" fontId="0" fillId="0" borderId="0" xfId="0" applyBorder="1" applyAlignment="1">
      <alignment horizontal="left" vertical="center" wrapText="1"/>
    </xf>
    <xf numFmtId="0" fontId="4" fillId="0" borderId="1" xfId="0" applyFont="1" applyFill="1" applyBorder="1" applyAlignment="1">
      <alignment horizontal="center" vertical="center" wrapText="1"/>
    </xf>
    <xf numFmtId="0" fontId="0" fillId="0" borderId="1" xfId="0" applyBorder="1" applyAlignment="1">
      <alignment horizontal="center" wrapText="1"/>
    </xf>
    <xf numFmtId="0" fontId="4" fillId="0" borderId="1" xfId="0" applyFont="1" applyBorder="1"/>
    <xf numFmtId="0" fontId="6" fillId="0" borderId="1" xfId="0" applyFont="1" applyBorder="1"/>
    <xf numFmtId="0" fontId="1" fillId="0" borderId="1" xfId="0" applyFont="1" applyBorder="1"/>
    <xf numFmtId="0" fontId="7" fillId="0" borderId="1" xfId="0" applyFont="1" applyBorder="1" applyAlignment="1">
      <alignment horizontal="center"/>
    </xf>
    <xf numFmtId="0" fontId="7" fillId="0" borderId="1" xfId="0" applyFont="1" applyBorder="1"/>
    <xf numFmtId="0" fontId="0" fillId="0" borderId="1" xfId="0" applyBorder="1" applyAlignment="1">
      <alignment horizontal="center" wrapText="1"/>
    </xf>
    <xf numFmtId="0" fontId="0" fillId="0" borderId="1" xfId="0" applyBorder="1" applyAlignment="1">
      <alignment horizontal="left" vertical="center" wrapText="1"/>
    </xf>
    <xf numFmtId="0" fontId="0" fillId="2" borderId="0" xfId="0" applyFill="1"/>
    <xf numFmtId="0" fontId="7" fillId="2" borderId="1" xfId="0" applyFont="1" applyFill="1" applyBorder="1" applyAlignment="1">
      <alignment horizontal="center"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190500</xdr:colOff>
          <xdr:row>2</xdr:row>
          <xdr:rowOff>163830</xdr:rowOff>
        </xdr:from>
        <xdr:to>
          <xdr:col>7</xdr:col>
          <xdr:colOff>129540</xdr:colOff>
          <xdr:row>3</xdr:row>
          <xdr:rowOff>160020</xdr:rowOff>
        </xdr:to>
        <xdr:sp macro="" textlink="">
          <xdr:nvSpPr>
            <xdr:cNvPr id="3073" name="btnUpdate"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19"/>
  <sheetViews>
    <sheetView tabSelected="1" workbookViewId="0">
      <selection activeCell="K10" sqref="K10:K11"/>
    </sheetView>
  </sheetViews>
  <sheetFormatPr defaultRowHeight="15.3" x14ac:dyDescent="0.55000000000000004"/>
  <cols>
    <col min="1" max="1" width="9.25" customWidth="1"/>
    <col min="2" max="2" width="8.84765625" bestFit="1" customWidth="1"/>
    <col min="3" max="3" width="10.84765625" customWidth="1"/>
    <col min="4" max="4" width="11.84765625" bestFit="1" customWidth="1"/>
    <col min="5" max="5" width="14.75" bestFit="1" customWidth="1"/>
    <col min="6" max="6" width="17.75" bestFit="1" customWidth="1"/>
    <col min="11" max="11" width="21.19921875" bestFit="1" customWidth="1"/>
  </cols>
  <sheetData>
    <row r="1" spans="1:15" x14ac:dyDescent="0.55000000000000004">
      <c r="F1" s="11" t="s">
        <v>15</v>
      </c>
    </row>
    <row r="2" spans="1:15" x14ac:dyDescent="0.55000000000000004">
      <c r="F2" s="2">
        <f ca="1">IF(MIN(F4:F19)=0,"",MAX(F4:F19))</f>
        <v>600</v>
      </c>
    </row>
    <row r="3" spans="1:15" ht="30.3" x14ac:dyDescent="0.55000000000000004">
      <c r="A3" s="11" t="s">
        <v>12</v>
      </c>
      <c r="B3" s="14" t="s">
        <v>27</v>
      </c>
      <c r="C3" s="14" t="s">
        <v>28</v>
      </c>
      <c r="D3" s="11" t="s">
        <v>13</v>
      </c>
      <c r="E3" s="11" t="s">
        <v>14</v>
      </c>
      <c r="F3" s="12" t="s">
        <v>16</v>
      </c>
    </row>
    <row r="4" spans="1:15" x14ac:dyDescent="0.55000000000000004">
      <c r="A4" s="2" t="s">
        <v>25</v>
      </c>
      <c r="B4" s="2" t="b">
        <f ca="1">IF(A4&lt;&gt;"",INDIRECT(A4&amp;"!Feasible"),"")</f>
        <v>1</v>
      </c>
      <c r="C4" s="2" t="b">
        <f ca="1">IF(A4&lt;&gt;"",INDIRECT(A4&amp;"!ConstraintsFeasible"),"")</f>
        <v>1</v>
      </c>
      <c r="D4" s="2">
        <f ca="1">IF(A4&lt;&gt;"",INDIRECT(A4&amp;"!Bound"),"")</f>
        <v>600</v>
      </c>
      <c r="E4" s="2" t="str">
        <f ca="1">IF($F$2="","",IF(A4="","",IF(OR(D4&lt;$F$2,NOT(C4)),"Yes","")))</f>
        <v/>
      </c>
      <c r="F4" s="2">
        <f ca="1">IF(A4&lt;&gt;"",IF(AND(B4,C4),D4,""),"")</f>
        <v>600</v>
      </c>
    </row>
    <row r="5" spans="1:15" x14ac:dyDescent="0.55000000000000004">
      <c r="A5" s="2" t="s">
        <v>34</v>
      </c>
      <c r="B5" s="2" t="b">
        <f t="shared" ref="B5:B19" ca="1" si="0">IF(A5&lt;&gt;"",INDIRECT(A5&amp;"!Feasible"),"")</f>
        <v>1</v>
      </c>
      <c r="C5" s="2" t="b">
        <f t="shared" ref="C5:C19" ca="1" si="1">IF(A5&lt;&gt;"",INDIRECT(A5&amp;"!ConstraintsFeasible"),"")</f>
        <v>0</v>
      </c>
      <c r="D5" s="2">
        <f t="shared" ref="D5:D19" ca="1" si="2">IF(A5&lt;&gt;"",INDIRECT(A5&amp;"!Bound"),"")</f>
        <v>400</v>
      </c>
      <c r="E5" s="2" t="str">
        <f ca="1">IF($F$2="","",IF(A5="","",IF(OR(D5&lt;$F$2,NOT(C5)),"Yes","")))</f>
        <v>Yes</v>
      </c>
      <c r="F5" s="2" t="str">
        <f ca="1">IF(A5&lt;&gt;"",IF(AND(B5,C5),D5,""),"")</f>
        <v/>
      </c>
    </row>
    <row r="6" spans="1:15" x14ac:dyDescent="0.55000000000000004">
      <c r="A6" s="2" t="s">
        <v>35</v>
      </c>
      <c r="B6" s="2" t="b">
        <f t="shared" ca="1" si="0"/>
        <v>1</v>
      </c>
      <c r="C6" s="2" t="b">
        <f t="shared" ca="1" si="1"/>
        <v>1</v>
      </c>
      <c r="D6" s="2">
        <f t="shared" ca="1" si="2"/>
        <v>550</v>
      </c>
      <c r="E6" s="2" t="str">
        <f t="shared" ref="E6:E19" ca="1" si="3">IF($F$2="","",IF(A6="","",IF(OR(D6&lt;$F$2,NOT(C6)),"Yes","")))</f>
        <v>Yes</v>
      </c>
      <c r="F6" s="2">
        <f t="shared" ref="F6:F19" ca="1" si="4">IF(A6&lt;&gt;"",IF(AND(B6,C6),D6,""),"")</f>
        <v>550</v>
      </c>
      <c r="K6" s="25" t="s">
        <v>37</v>
      </c>
    </row>
    <row r="7" spans="1:15" x14ac:dyDescent="0.55000000000000004">
      <c r="A7" s="2" t="s">
        <v>36</v>
      </c>
      <c r="B7" s="2" t="b">
        <f t="shared" ca="1" si="0"/>
        <v>1</v>
      </c>
      <c r="C7" s="2" t="b">
        <f t="shared" ca="1" si="1"/>
        <v>1</v>
      </c>
      <c r="D7" s="2">
        <f t="shared" ca="1" si="2"/>
        <v>600</v>
      </c>
      <c r="E7" s="2" t="str">
        <f t="shared" ca="1" si="3"/>
        <v/>
      </c>
      <c r="F7" s="2">
        <f t="shared" ca="1" si="4"/>
        <v>600</v>
      </c>
    </row>
    <row r="8" spans="1:15" x14ac:dyDescent="0.55000000000000004">
      <c r="A8" s="2">
        <v>1110</v>
      </c>
      <c r="B8" s="2" t="b">
        <f t="shared" ca="1" si="0"/>
        <v>1</v>
      </c>
      <c r="C8" s="2" t="b">
        <f t="shared" ca="1" si="1"/>
        <v>1</v>
      </c>
      <c r="D8" s="2">
        <f t="shared" ca="1" si="2"/>
        <v>600</v>
      </c>
      <c r="E8" s="2" t="str">
        <f t="shared" ca="1" si="3"/>
        <v/>
      </c>
      <c r="F8" s="2">
        <f t="shared" ca="1" si="4"/>
        <v>600</v>
      </c>
      <c r="K8" s="25" t="s">
        <v>38</v>
      </c>
      <c r="L8">
        <v>600</v>
      </c>
    </row>
    <row r="9" spans="1:15" x14ac:dyDescent="0.55000000000000004">
      <c r="A9" s="2"/>
      <c r="B9" s="2" t="str">
        <f t="shared" ca="1" si="0"/>
        <v/>
      </c>
      <c r="C9" s="2" t="str">
        <f t="shared" ca="1" si="1"/>
        <v/>
      </c>
      <c r="D9" s="2" t="str">
        <f t="shared" ca="1" si="2"/>
        <v/>
      </c>
      <c r="E9" s="2" t="str">
        <f t="shared" ca="1" si="3"/>
        <v/>
      </c>
      <c r="F9" s="2" t="str">
        <f t="shared" si="4"/>
        <v/>
      </c>
    </row>
    <row r="10" spans="1:15" ht="18.3" x14ac:dyDescent="0.8">
      <c r="A10" s="2"/>
      <c r="B10" s="2" t="str">
        <f t="shared" ca="1" si="0"/>
        <v/>
      </c>
      <c r="C10" s="2" t="str">
        <f t="shared" ca="1" si="1"/>
        <v/>
      </c>
      <c r="D10" s="2" t="str">
        <f t="shared" ca="1" si="2"/>
        <v/>
      </c>
      <c r="E10" s="2" t="str">
        <f t="shared" ca="1" si="3"/>
        <v/>
      </c>
      <c r="F10" s="2" t="str">
        <f t="shared" si="4"/>
        <v/>
      </c>
      <c r="K10" s="26" t="s">
        <v>1</v>
      </c>
      <c r="L10" s="21" t="s">
        <v>39</v>
      </c>
      <c r="M10" s="21" t="s">
        <v>40</v>
      </c>
      <c r="N10" s="21" t="s">
        <v>41</v>
      </c>
      <c r="O10" s="21" t="s">
        <v>42</v>
      </c>
    </row>
    <row r="11" spans="1:15" x14ac:dyDescent="0.55000000000000004">
      <c r="A11" s="2"/>
      <c r="B11" s="2" t="str">
        <f t="shared" ca="1" si="0"/>
        <v/>
      </c>
      <c r="C11" s="2" t="str">
        <f t="shared" ca="1" si="1"/>
        <v/>
      </c>
      <c r="D11" s="2" t="str">
        <f t="shared" ca="1" si="2"/>
        <v/>
      </c>
      <c r="E11" s="2" t="str">
        <f t="shared" ca="1" si="3"/>
        <v/>
      </c>
      <c r="F11" s="2" t="str">
        <f t="shared" si="4"/>
        <v/>
      </c>
      <c r="K11" s="26"/>
      <c r="L11" s="22">
        <v>1</v>
      </c>
      <c r="M11" s="22">
        <v>1</v>
      </c>
      <c r="N11" s="22">
        <v>1</v>
      </c>
      <c r="O11" s="22">
        <v>0</v>
      </c>
    </row>
    <row r="12" spans="1:15" x14ac:dyDescent="0.55000000000000004">
      <c r="A12" s="2"/>
      <c r="B12" s="2" t="str">
        <f t="shared" ca="1" si="0"/>
        <v/>
      </c>
      <c r="C12" s="2" t="str">
        <f t="shared" ca="1" si="1"/>
        <v/>
      </c>
      <c r="D12" s="2" t="str">
        <f t="shared" ca="1" si="2"/>
        <v/>
      </c>
      <c r="E12" s="2" t="str">
        <f t="shared" ca="1" si="3"/>
        <v/>
      </c>
      <c r="F12" s="2" t="str">
        <f t="shared" si="4"/>
        <v/>
      </c>
    </row>
    <row r="13" spans="1:15" x14ac:dyDescent="0.55000000000000004">
      <c r="A13" s="2"/>
      <c r="B13" s="2" t="str">
        <f t="shared" ca="1" si="0"/>
        <v/>
      </c>
      <c r="C13" s="2" t="str">
        <f t="shared" ca="1" si="1"/>
        <v/>
      </c>
      <c r="D13" s="2" t="str">
        <f t="shared" ca="1" si="2"/>
        <v/>
      </c>
      <c r="E13" s="2" t="str">
        <f t="shared" ca="1" si="3"/>
        <v/>
      </c>
      <c r="F13" s="2" t="str">
        <f t="shared" si="4"/>
        <v/>
      </c>
    </row>
    <row r="14" spans="1:15" x14ac:dyDescent="0.55000000000000004">
      <c r="A14" s="2"/>
      <c r="B14" s="2" t="str">
        <f t="shared" ca="1" si="0"/>
        <v/>
      </c>
      <c r="C14" s="2" t="str">
        <f t="shared" ca="1" si="1"/>
        <v/>
      </c>
      <c r="D14" s="2" t="str">
        <f t="shared" ca="1" si="2"/>
        <v/>
      </c>
      <c r="E14" s="2" t="str">
        <f t="shared" ca="1" si="3"/>
        <v/>
      </c>
      <c r="F14" s="2" t="str">
        <f t="shared" si="4"/>
        <v/>
      </c>
    </row>
    <row r="15" spans="1:15" x14ac:dyDescent="0.55000000000000004">
      <c r="A15" s="2"/>
      <c r="B15" s="2" t="str">
        <f t="shared" ca="1" si="0"/>
        <v/>
      </c>
      <c r="C15" s="2" t="str">
        <f t="shared" ca="1" si="1"/>
        <v/>
      </c>
      <c r="D15" s="2" t="str">
        <f t="shared" ca="1" si="2"/>
        <v/>
      </c>
      <c r="E15" s="2" t="str">
        <f t="shared" ca="1" si="3"/>
        <v/>
      </c>
      <c r="F15" s="2" t="str">
        <f t="shared" si="4"/>
        <v/>
      </c>
    </row>
    <row r="16" spans="1:15" x14ac:dyDescent="0.55000000000000004">
      <c r="A16" s="2"/>
      <c r="B16" s="2" t="str">
        <f t="shared" ca="1" si="0"/>
        <v/>
      </c>
      <c r="C16" s="2" t="str">
        <f t="shared" ca="1" si="1"/>
        <v/>
      </c>
      <c r="D16" s="2" t="str">
        <f t="shared" ca="1" si="2"/>
        <v/>
      </c>
      <c r="E16" s="2" t="str">
        <f t="shared" ca="1" si="3"/>
        <v/>
      </c>
      <c r="F16" s="2" t="str">
        <f t="shared" si="4"/>
        <v/>
      </c>
    </row>
    <row r="17" spans="1:6" x14ac:dyDescent="0.55000000000000004">
      <c r="A17" s="2"/>
      <c r="B17" s="2" t="str">
        <f t="shared" ca="1" si="0"/>
        <v/>
      </c>
      <c r="C17" s="2" t="str">
        <f t="shared" ca="1" si="1"/>
        <v/>
      </c>
      <c r="D17" s="2" t="str">
        <f t="shared" ca="1" si="2"/>
        <v/>
      </c>
      <c r="E17" s="2" t="str">
        <f t="shared" ca="1" si="3"/>
        <v/>
      </c>
      <c r="F17" s="2" t="str">
        <f t="shared" si="4"/>
        <v/>
      </c>
    </row>
    <row r="18" spans="1:6" x14ac:dyDescent="0.55000000000000004">
      <c r="A18" s="2"/>
      <c r="B18" s="2" t="str">
        <f t="shared" ca="1" si="0"/>
        <v/>
      </c>
      <c r="C18" s="2" t="str">
        <f t="shared" ca="1" si="1"/>
        <v/>
      </c>
      <c r="D18" s="2" t="str">
        <f t="shared" ca="1" si="2"/>
        <v/>
      </c>
      <c r="E18" s="2" t="str">
        <f t="shared" ca="1" si="3"/>
        <v/>
      </c>
      <c r="F18" s="2" t="str">
        <f t="shared" si="4"/>
        <v/>
      </c>
    </row>
    <row r="19" spans="1:6" x14ac:dyDescent="0.55000000000000004">
      <c r="A19" s="2"/>
      <c r="B19" s="2" t="str">
        <f t="shared" ca="1" si="0"/>
        <v/>
      </c>
      <c r="C19" s="2" t="str">
        <f t="shared" ca="1" si="1"/>
        <v/>
      </c>
      <c r="D19" s="2" t="str">
        <f t="shared" ca="1" si="2"/>
        <v/>
      </c>
      <c r="E19" s="2" t="str">
        <f t="shared" ca="1" si="3"/>
        <v/>
      </c>
      <c r="F19" s="2" t="str">
        <f t="shared" si="4"/>
        <v/>
      </c>
    </row>
  </sheetData>
  <mergeCells count="1">
    <mergeCell ref="K10:K11"/>
  </mergeCells>
  <pageMargins left="0.7" right="0.7" top="0.75" bottom="0.75" header="0.3" footer="0.3"/>
  <pageSetup orientation="portrait" r:id="rId1"/>
  <drawing r:id="rId2"/>
  <legacyDrawing r:id="rId3"/>
  <controls>
    <mc:AlternateContent xmlns:mc="http://schemas.openxmlformats.org/markup-compatibility/2006">
      <mc:Choice Requires="x14">
        <control shapeId="3073" r:id="rId4" name="btnUpdate">
          <controlPr defaultSize="0" autoLine="0" r:id="rId5">
            <anchor moveWithCells="1">
              <from>
                <xdr:col>6</xdr:col>
                <xdr:colOff>190500</xdr:colOff>
                <xdr:row>2</xdr:row>
                <xdr:rowOff>163830</xdr:rowOff>
              </from>
              <to>
                <xdr:col>7</xdr:col>
                <xdr:colOff>129540</xdr:colOff>
                <xdr:row>3</xdr:row>
                <xdr:rowOff>160020</xdr:rowOff>
              </to>
            </anchor>
          </controlPr>
        </control>
      </mc:Choice>
      <mc:Fallback>
        <control shapeId="3073" r:id="rId4"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0"/>
  <sheetViews>
    <sheetView zoomScale="89" zoomScaleNormal="89" workbookViewId="0">
      <selection activeCell="B10" sqref="B10"/>
    </sheetView>
  </sheetViews>
  <sheetFormatPr defaultRowHeight="15.3" x14ac:dyDescent="0.55000000000000004"/>
  <cols>
    <col min="1" max="1" width="12" customWidth="1"/>
    <col min="6" max="6" width="10.25" customWidth="1"/>
    <col min="7" max="7" width="13" bestFit="1" customWidth="1"/>
    <col min="11" max="11" width="11.59765625" customWidth="1"/>
  </cols>
  <sheetData>
    <row r="1" spans="1:13" ht="31.15" customHeight="1" x14ac:dyDescent="0.55000000000000004">
      <c r="A1" s="3" t="s">
        <v>0</v>
      </c>
      <c r="B1" s="2">
        <f>SUMPRODUCT(B6:E6,B10:E10)</f>
        <v>600</v>
      </c>
      <c r="D1" s="24" t="s">
        <v>26</v>
      </c>
      <c r="E1" s="24"/>
      <c r="F1" s="24"/>
      <c r="G1" s="24"/>
      <c r="H1" s="24"/>
      <c r="I1" s="24"/>
      <c r="J1" s="24"/>
      <c r="K1" s="24"/>
    </row>
    <row r="2" spans="1:13" x14ac:dyDescent="0.55000000000000004">
      <c r="A2" s="3" t="s">
        <v>10</v>
      </c>
      <c r="B2" s="2">
        <f>FLOOR(B1,1)</f>
        <v>600</v>
      </c>
      <c r="D2" s="24"/>
      <c r="E2" s="24"/>
      <c r="F2" s="24"/>
      <c r="G2" s="24"/>
      <c r="H2" s="24"/>
      <c r="I2" s="24"/>
      <c r="J2" s="24"/>
      <c r="K2" s="24"/>
    </row>
    <row r="3" spans="1:13" ht="30.6" x14ac:dyDescent="0.55000000000000004">
      <c r="A3" s="3" t="s">
        <v>29</v>
      </c>
      <c r="B3" s="2" t="b">
        <f>IF(AND(B10=FLOOR(B10,1),C10=FLOOR(C10,1),D10=FLOOR(D10,1),E10=FLOOR(E10,1)),TRUE,FALSE)</f>
        <v>1</v>
      </c>
      <c r="D3" s="24"/>
      <c r="E3" s="24"/>
      <c r="F3" s="24"/>
      <c r="G3" s="24"/>
      <c r="H3" s="24"/>
      <c r="I3" s="24"/>
      <c r="J3" s="24"/>
      <c r="K3" s="24"/>
    </row>
    <row r="4" spans="1:13" ht="30.6" x14ac:dyDescent="0.55000000000000004">
      <c r="A4" s="13" t="s">
        <v>30</v>
      </c>
      <c r="B4" s="2" t="b">
        <f>AND(H13:H20)</f>
        <v>1</v>
      </c>
      <c r="D4" s="15"/>
      <c r="E4" s="15"/>
      <c r="F4" s="15"/>
      <c r="G4" s="15"/>
      <c r="H4" s="15"/>
      <c r="I4" s="15"/>
      <c r="J4" s="15"/>
      <c r="K4" s="15"/>
      <c r="M4" t="s">
        <v>32</v>
      </c>
    </row>
    <row r="5" spans="1:13" x14ac:dyDescent="0.55000000000000004">
      <c r="A5" s="4"/>
      <c r="B5" s="5"/>
      <c r="M5" t="s">
        <v>33</v>
      </c>
    </row>
    <row r="6" spans="1:13" ht="45.9" x14ac:dyDescent="0.55000000000000004">
      <c r="A6" s="6" t="s">
        <v>7</v>
      </c>
      <c r="B6" s="7">
        <v>150</v>
      </c>
      <c r="C6" s="7">
        <v>200</v>
      </c>
      <c r="D6" s="7">
        <v>250</v>
      </c>
      <c r="E6" s="7">
        <v>400</v>
      </c>
    </row>
    <row r="7" spans="1:13" x14ac:dyDescent="0.55000000000000004">
      <c r="A7" s="4"/>
      <c r="B7" s="5"/>
    </row>
    <row r="8" spans="1:13" x14ac:dyDescent="0.55000000000000004">
      <c r="A8" s="10" t="s">
        <v>11</v>
      </c>
    </row>
    <row r="9" spans="1:13" ht="18.3" x14ac:dyDescent="0.8">
      <c r="A9" s="23" t="s">
        <v>1</v>
      </c>
      <c r="B9" s="1" t="s">
        <v>3</v>
      </c>
      <c r="C9" s="1" t="s">
        <v>4</v>
      </c>
      <c r="D9" s="1" t="s">
        <v>5</v>
      </c>
      <c r="E9" s="1" t="s">
        <v>6</v>
      </c>
    </row>
    <row r="10" spans="1:13" x14ac:dyDescent="0.55000000000000004">
      <c r="A10" s="23"/>
      <c r="B10" s="18">
        <v>1</v>
      </c>
      <c r="C10" s="2">
        <v>1</v>
      </c>
      <c r="D10" s="2">
        <v>1</v>
      </c>
      <c r="E10" s="2">
        <v>0</v>
      </c>
    </row>
    <row r="12" spans="1:13" ht="45.9" x14ac:dyDescent="0.8">
      <c r="A12" t="s">
        <v>2</v>
      </c>
      <c r="B12" s="1" t="s">
        <v>3</v>
      </c>
      <c r="C12" s="1" t="s">
        <v>4</v>
      </c>
      <c r="D12" s="1" t="s">
        <v>5</v>
      </c>
      <c r="E12" s="1" t="s">
        <v>6</v>
      </c>
      <c r="F12" s="8" t="s">
        <v>8</v>
      </c>
      <c r="G12" s="8" t="s">
        <v>9</v>
      </c>
      <c r="H12" s="16" t="s">
        <v>31</v>
      </c>
    </row>
    <row r="13" spans="1:13" x14ac:dyDescent="0.55000000000000004">
      <c r="A13" t="s">
        <v>17</v>
      </c>
      <c r="B13" s="2">
        <v>1</v>
      </c>
      <c r="C13" s="2"/>
      <c r="D13" s="2"/>
      <c r="E13" s="2"/>
      <c r="F13" s="2">
        <f>SUMPRODUCT(B13:E13,$B$10:$E$10)</f>
        <v>1</v>
      </c>
      <c r="G13" s="2">
        <v>1</v>
      </c>
      <c r="H13" s="2" t="b">
        <f>IF(F13=G13,TRUE,FALSE)</f>
        <v>1</v>
      </c>
    </row>
    <row r="14" spans="1:13" x14ac:dyDescent="0.55000000000000004">
      <c r="A14" t="s">
        <v>18</v>
      </c>
      <c r="B14" s="2"/>
      <c r="C14" s="2">
        <v>1</v>
      </c>
      <c r="D14" s="2"/>
      <c r="E14" s="2">
        <v>1</v>
      </c>
      <c r="F14" s="2">
        <f t="shared" ref="F14:F20" si="0">SUMPRODUCT(B14:E14,$B$10:$E$10)</f>
        <v>1</v>
      </c>
      <c r="G14" s="2">
        <v>1</v>
      </c>
      <c r="H14" s="2" t="b">
        <f t="shared" ref="H14:H20" si="1">IF(F14=G14,TRUE,FALSE)</f>
        <v>1</v>
      </c>
    </row>
    <row r="15" spans="1:13" x14ac:dyDescent="0.55000000000000004">
      <c r="A15" t="s">
        <v>19</v>
      </c>
      <c r="B15" s="2">
        <v>1</v>
      </c>
      <c r="C15" s="2"/>
      <c r="D15" s="2"/>
      <c r="E15" s="2"/>
      <c r="F15" s="2">
        <f t="shared" si="0"/>
        <v>1</v>
      </c>
      <c r="G15" s="2">
        <v>1</v>
      </c>
      <c r="H15" s="2" t="b">
        <f t="shared" si="1"/>
        <v>1</v>
      </c>
    </row>
    <row r="16" spans="1:13" x14ac:dyDescent="0.55000000000000004">
      <c r="A16" t="s">
        <v>20</v>
      </c>
      <c r="B16" s="2">
        <v>1</v>
      </c>
      <c r="C16" s="2"/>
      <c r="D16" s="2"/>
      <c r="E16" s="2"/>
      <c r="F16" s="2">
        <f t="shared" si="0"/>
        <v>1</v>
      </c>
      <c r="G16" s="2">
        <v>1</v>
      </c>
      <c r="H16" s="2" t="b">
        <f t="shared" si="1"/>
        <v>1</v>
      </c>
    </row>
    <row r="17" spans="1:8" x14ac:dyDescent="0.55000000000000004">
      <c r="A17" t="s">
        <v>21</v>
      </c>
      <c r="B17" s="2"/>
      <c r="C17" s="2"/>
      <c r="D17" s="2">
        <v>1</v>
      </c>
      <c r="E17" s="2">
        <v>1</v>
      </c>
      <c r="F17" s="2">
        <f t="shared" si="0"/>
        <v>1</v>
      </c>
      <c r="G17" s="9">
        <v>1</v>
      </c>
      <c r="H17" s="2" t="b">
        <f t="shared" si="1"/>
        <v>1</v>
      </c>
    </row>
    <row r="18" spans="1:8" x14ac:dyDescent="0.55000000000000004">
      <c r="A18" t="s">
        <v>22</v>
      </c>
      <c r="B18" s="2"/>
      <c r="C18" s="2"/>
      <c r="D18" s="2">
        <v>1</v>
      </c>
      <c r="E18" s="2">
        <v>1</v>
      </c>
      <c r="F18" s="2">
        <f t="shared" si="0"/>
        <v>1</v>
      </c>
      <c r="G18" s="9">
        <v>1</v>
      </c>
      <c r="H18" s="2" t="b">
        <f t="shared" si="1"/>
        <v>1</v>
      </c>
    </row>
    <row r="19" spans="1:8" x14ac:dyDescent="0.55000000000000004">
      <c r="A19" t="s">
        <v>23</v>
      </c>
      <c r="B19" s="2">
        <v>1</v>
      </c>
      <c r="C19" s="2"/>
      <c r="D19" s="2"/>
      <c r="E19" s="2"/>
      <c r="F19" s="2">
        <f t="shared" si="0"/>
        <v>1</v>
      </c>
      <c r="G19" s="9">
        <v>1</v>
      </c>
      <c r="H19" s="2" t="b">
        <f t="shared" si="1"/>
        <v>1</v>
      </c>
    </row>
    <row r="20" spans="1:8" x14ac:dyDescent="0.55000000000000004">
      <c r="A20" t="s">
        <v>24</v>
      </c>
      <c r="B20" s="2"/>
      <c r="C20" s="2">
        <v>1</v>
      </c>
      <c r="D20" s="2"/>
      <c r="E20" s="2">
        <v>1</v>
      </c>
      <c r="F20" s="2">
        <f t="shared" si="0"/>
        <v>1</v>
      </c>
      <c r="G20" s="9">
        <v>1</v>
      </c>
      <c r="H20" s="2" t="b">
        <f t="shared" si="1"/>
        <v>1</v>
      </c>
    </row>
  </sheetData>
  <mergeCells count="2">
    <mergeCell ref="A9:A10"/>
    <mergeCell ref="D1:K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
  <sheetViews>
    <sheetView zoomScale="89" zoomScaleNormal="89" workbookViewId="0">
      <selection activeCell="B10" sqref="B10"/>
    </sheetView>
  </sheetViews>
  <sheetFormatPr defaultRowHeight="15.3" x14ac:dyDescent="0.55000000000000004"/>
  <cols>
    <col min="1" max="1" width="12" customWidth="1"/>
    <col min="6" max="6" width="10.25" customWidth="1"/>
    <col min="7" max="7" width="13" bestFit="1" customWidth="1"/>
    <col min="11" max="11" width="11.59765625" customWidth="1"/>
  </cols>
  <sheetData>
    <row r="1" spans="1:13" ht="31.15" customHeight="1" x14ac:dyDescent="0.55000000000000004">
      <c r="A1" s="17" t="s">
        <v>0</v>
      </c>
      <c r="B1" s="2">
        <f>SUMPRODUCT(B6:E6,B10:E10)</f>
        <v>400</v>
      </c>
      <c r="D1" s="24" t="s">
        <v>26</v>
      </c>
      <c r="E1" s="24"/>
      <c r="F1" s="24"/>
      <c r="G1" s="24"/>
      <c r="H1" s="24"/>
      <c r="I1" s="24"/>
      <c r="J1" s="24"/>
      <c r="K1" s="24"/>
    </row>
    <row r="2" spans="1:13" x14ac:dyDescent="0.55000000000000004">
      <c r="A2" s="17" t="s">
        <v>10</v>
      </c>
      <c r="B2" s="2">
        <f>FLOOR(B1,1)</f>
        <v>400</v>
      </c>
      <c r="D2" s="24"/>
      <c r="E2" s="24"/>
      <c r="F2" s="24"/>
      <c r="G2" s="24"/>
      <c r="H2" s="24"/>
      <c r="I2" s="24"/>
      <c r="J2" s="24"/>
      <c r="K2" s="24"/>
    </row>
    <row r="3" spans="1:13" ht="30.6" x14ac:dyDescent="0.55000000000000004">
      <c r="A3" s="17" t="s">
        <v>29</v>
      </c>
      <c r="B3" s="2" t="b">
        <f>IF(AND(B10=FLOOR(B10,1),C10=FLOOR(C10,1),D10=FLOOR(D10,1),E10=FLOOR(E10,1)),TRUE,FALSE)</f>
        <v>1</v>
      </c>
      <c r="D3" s="24"/>
      <c r="E3" s="24"/>
      <c r="F3" s="24"/>
      <c r="G3" s="24"/>
      <c r="H3" s="24"/>
      <c r="I3" s="24"/>
      <c r="J3" s="24"/>
      <c r="K3" s="24"/>
    </row>
    <row r="4" spans="1:13" ht="30.6" x14ac:dyDescent="0.55000000000000004">
      <c r="A4" s="17" t="s">
        <v>30</v>
      </c>
      <c r="B4" s="2" t="b">
        <f>AND(H13:H20)</f>
        <v>0</v>
      </c>
      <c r="D4" s="15"/>
      <c r="E4" s="15"/>
      <c r="F4" s="15"/>
      <c r="G4" s="15"/>
      <c r="H4" s="15"/>
      <c r="I4" s="15"/>
      <c r="J4" s="15"/>
      <c r="K4" s="15"/>
      <c r="M4" t="s">
        <v>32</v>
      </c>
    </row>
    <row r="5" spans="1:13" x14ac:dyDescent="0.55000000000000004">
      <c r="A5" s="4"/>
      <c r="B5" s="5"/>
      <c r="M5" t="s">
        <v>33</v>
      </c>
    </row>
    <row r="6" spans="1:13" ht="45.9" x14ac:dyDescent="0.55000000000000004">
      <c r="A6" s="6" t="s">
        <v>7</v>
      </c>
      <c r="B6" s="7">
        <v>150</v>
      </c>
      <c r="C6" s="7">
        <v>200</v>
      </c>
      <c r="D6" s="7">
        <v>250</v>
      </c>
      <c r="E6" s="7">
        <v>400</v>
      </c>
    </row>
    <row r="7" spans="1:13" x14ac:dyDescent="0.55000000000000004">
      <c r="A7" s="4"/>
      <c r="B7" s="5"/>
    </row>
    <row r="8" spans="1:13" x14ac:dyDescent="0.55000000000000004">
      <c r="A8" s="10" t="s">
        <v>11</v>
      </c>
    </row>
    <row r="9" spans="1:13" ht="18.3" x14ac:dyDescent="0.8">
      <c r="A9" s="23" t="s">
        <v>1</v>
      </c>
      <c r="B9" s="1" t="s">
        <v>3</v>
      </c>
      <c r="C9" s="1" t="s">
        <v>4</v>
      </c>
      <c r="D9" s="1" t="s">
        <v>5</v>
      </c>
      <c r="E9" s="1" t="s">
        <v>6</v>
      </c>
    </row>
    <row r="10" spans="1:13" x14ac:dyDescent="0.55000000000000004">
      <c r="A10" s="23"/>
      <c r="B10" s="19">
        <v>0</v>
      </c>
      <c r="C10" s="2">
        <v>0</v>
      </c>
      <c r="D10" s="2">
        <v>0</v>
      </c>
      <c r="E10" s="2">
        <v>1</v>
      </c>
    </row>
    <row r="12" spans="1:13" ht="45.9" x14ac:dyDescent="0.8">
      <c r="A12" t="s">
        <v>2</v>
      </c>
      <c r="B12" s="1" t="s">
        <v>3</v>
      </c>
      <c r="C12" s="1" t="s">
        <v>4</v>
      </c>
      <c r="D12" s="1" t="s">
        <v>5</v>
      </c>
      <c r="E12" s="1" t="s">
        <v>6</v>
      </c>
      <c r="F12" s="8" t="s">
        <v>8</v>
      </c>
      <c r="G12" s="8" t="s">
        <v>9</v>
      </c>
      <c r="H12" s="16" t="s">
        <v>31</v>
      </c>
    </row>
    <row r="13" spans="1:13" x14ac:dyDescent="0.55000000000000004">
      <c r="A13" t="s">
        <v>17</v>
      </c>
      <c r="B13" s="2">
        <v>1</v>
      </c>
      <c r="C13" s="2"/>
      <c r="D13" s="2"/>
      <c r="E13" s="2"/>
      <c r="F13" s="2">
        <f>SUMPRODUCT(B13:E13,$B$10:$E$10)</f>
        <v>0</v>
      </c>
      <c r="G13" s="2">
        <v>1</v>
      </c>
      <c r="H13" s="2" t="b">
        <f>IF(F13=G13,TRUE,FALSE)</f>
        <v>0</v>
      </c>
    </row>
    <row r="14" spans="1:13" x14ac:dyDescent="0.55000000000000004">
      <c r="A14" t="s">
        <v>18</v>
      </c>
      <c r="B14" s="2"/>
      <c r="C14" s="2">
        <v>1</v>
      </c>
      <c r="D14" s="2"/>
      <c r="E14" s="2">
        <v>1</v>
      </c>
      <c r="F14" s="2">
        <f t="shared" ref="F14:F20" si="0">SUMPRODUCT(B14:E14,$B$10:$E$10)</f>
        <v>1</v>
      </c>
      <c r="G14" s="2">
        <v>1</v>
      </c>
      <c r="H14" s="2" t="b">
        <f t="shared" ref="H14:H20" si="1">IF(F14=G14,TRUE,FALSE)</f>
        <v>1</v>
      </c>
    </row>
    <row r="15" spans="1:13" x14ac:dyDescent="0.55000000000000004">
      <c r="A15" t="s">
        <v>19</v>
      </c>
      <c r="B15" s="2">
        <v>1</v>
      </c>
      <c r="C15" s="2"/>
      <c r="D15" s="2"/>
      <c r="E15" s="2"/>
      <c r="F15" s="2">
        <f t="shared" si="0"/>
        <v>0</v>
      </c>
      <c r="G15" s="2">
        <v>1</v>
      </c>
      <c r="H15" s="2" t="b">
        <f t="shared" si="1"/>
        <v>0</v>
      </c>
    </row>
    <row r="16" spans="1:13" x14ac:dyDescent="0.55000000000000004">
      <c r="A16" t="s">
        <v>20</v>
      </c>
      <c r="B16" s="2">
        <v>1</v>
      </c>
      <c r="C16" s="2"/>
      <c r="D16" s="2"/>
      <c r="E16" s="2"/>
      <c r="F16" s="2">
        <f t="shared" si="0"/>
        <v>0</v>
      </c>
      <c r="G16" s="2">
        <v>1</v>
      </c>
      <c r="H16" s="2" t="b">
        <f t="shared" si="1"/>
        <v>0</v>
      </c>
    </row>
    <row r="17" spans="1:8" x14ac:dyDescent="0.55000000000000004">
      <c r="A17" t="s">
        <v>21</v>
      </c>
      <c r="B17" s="2"/>
      <c r="C17" s="2"/>
      <c r="D17" s="2">
        <v>1</v>
      </c>
      <c r="E17" s="2">
        <v>1</v>
      </c>
      <c r="F17" s="2">
        <f t="shared" si="0"/>
        <v>1</v>
      </c>
      <c r="G17" s="9">
        <v>1</v>
      </c>
      <c r="H17" s="2" t="b">
        <f t="shared" si="1"/>
        <v>1</v>
      </c>
    </row>
    <row r="18" spans="1:8" x14ac:dyDescent="0.55000000000000004">
      <c r="A18" t="s">
        <v>22</v>
      </c>
      <c r="B18" s="2"/>
      <c r="C18" s="2"/>
      <c r="D18" s="2">
        <v>1</v>
      </c>
      <c r="E18" s="2">
        <v>1</v>
      </c>
      <c r="F18" s="2">
        <f t="shared" si="0"/>
        <v>1</v>
      </c>
      <c r="G18" s="9">
        <v>1</v>
      </c>
      <c r="H18" s="2" t="b">
        <f t="shared" si="1"/>
        <v>1</v>
      </c>
    </row>
    <row r="19" spans="1:8" x14ac:dyDescent="0.55000000000000004">
      <c r="A19" t="s">
        <v>23</v>
      </c>
      <c r="B19" s="2">
        <v>1</v>
      </c>
      <c r="C19" s="2"/>
      <c r="D19" s="2"/>
      <c r="E19" s="2"/>
      <c r="F19" s="2">
        <f t="shared" si="0"/>
        <v>0</v>
      </c>
      <c r="G19" s="9">
        <v>1</v>
      </c>
      <c r="H19" s="2" t="b">
        <f t="shared" si="1"/>
        <v>0</v>
      </c>
    </row>
    <row r="20" spans="1:8" x14ac:dyDescent="0.55000000000000004">
      <c r="A20" t="s">
        <v>24</v>
      </c>
      <c r="B20" s="2"/>
      <c r="C20" s="2">
        <v>1</v>
      </c>
      <c r="D20" s="2"/>
      <c r="E20" s="2">
        <v>1</v>
      </c>
      <c r="F20" s="2">
        <f t="shared" si="0"/>
        <v>1</v>
      </c>
      <c r="G20" s="9">
        <v>1</v>
      </c>
      <c r="H20" s="2" t="b">
        <f t="shared" si="1"/>
        <v>1</v>
      </c>
    </row>
  </sheetData>
  <mergeCells count="2">
    <mergeCell ref="D1:K3"/>
    <mergeCell ref="A9:A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0"/>
  <sheetViews>
    <sheetView zoomScale="89" zoomScaleNormal="89" workbookViewId="0">
      <selection activeCell="C10" sqref="C10"/>
    </sheetView>
  </sheetViews>
  <sheetFormatPr defaultRowHeight="15.3" x14ac:dyDescent="0.55000000000000004"/>
  <cols>
    <col min="1" max="1" width="12" customWidth="1"/>
    <col min="6" max="6" width="10.25" customWidth="1"/>
    <col min="7" max="7" width="13" bestFit="1" customWidth="1"/>
    <col min="11" max="11" width="11.59765625" customWidth="1"/>
  </cols>
  <sheetData>
    <row r="1" spans="1:13" ht="31.15" customHeight="1" x14ac:dyDescent="0.55000000000000004">
      <c r="A1" s="17" t="s">
        <v>0</v>
      </c>
      <c r="B1" s="2">
        <f>SUMPRODUCT(B6:E6,B10:E10)</f>
        <v>550</v>
      </c>
      <c r="D1" s="24" t="s">
        <v>26</v>
      </c>
      <c r="E1" s="24"/>
      <c r="F1" s="24"/>
      <c r="G1" s="24"/>
      <c r="H1" s="24"/>
      <c r="I1" s="24"/>
      <c r="J1" s="24"/>
      <c r="K1" s="24"/>
    </row>
    <row r="2" spans="1:13" x14ac:dyDescent="0.55000000000000004">
      <c r="A2" s="17" t="s">
        <v>10</v>
      </c>
      <c r="B2" s="2">
        <f>FLOOR(B1,1)</f>
        <v>550</v>
      </c>
      <c r="D2" s="24"/>
      <c r="E2" s="24"/>
      <c r="F2" s="24"/>
      <c r="G2" s="24"/>
      <c r="H2" s="24"/>
      <c r="I2" s="24"/>
      <c r="J2" s="24"/>
      <c r="K2" s="24"/>
    </row>
    <row r="3" spans="1:13" ht="30.6" x14ac:dyDescent="0.55000000000000004">
      <c r="A3" s="17" t="s">
        <v>29</v>
      </c>
      <c r="B3" s="2" t="b">
        <f>IF(AND(B10=FLOOR(B10,1),C10=FLOOR(C10,1),D10=FLOOR(D10,1),E10=FLOOR(E10,1)),TRUE,FALSE)</f>
        <v>1</v>
      </c>
      <c r="D3" s="24"/>
      <c r="E3" s="24"/>
      <c r="F3" s="24"/>
      <c r="G3" s="24"/>
      <c r="H3" s="24"/>
      <c r="I3" s="24"/>
      <c r="J3" s="24"/>
      <c r="K3" s="24"/>
    </row>
    <row r="4" spans="1:13" ht="30.6" x14ac:dyDescent="0.55000000000000004">
      <c r="A4" s="17" t="s">
        <v>30</v>
      </c>
      <c r="B4" s="2" t="b">
        <f>AND(H13:H20)</f>
        <v>1</v>
      </c>
      <c r="D4" s="15"/>
      <c r="E4" s="15"/>
      <c r="F4" s="15"/>
      <c r="G4" s="15"/>
      <c r="H4" s="15"/>
      <c r="I4" s="15"/>
      <c r="J4" s="15"/>
      <c r="K4" s="15"/>
      <c r="M4" t="s">
        <v>32</v>
      </c>
    </row>
    <row r="5" spans="1:13" x14ac:dyDescent="0.55000000000000004">
      <c r="A5" s="4"/>
      <c r="B5" s="5"/>
      <c r="M5" t="s">
        <v>33</v>
      </c>
    </row>
    <row r="6" spans="1:13" ht="45.9" x14ac:dyDescent="0.55000000000000004">
      <c r="A6" s="6" t="s">
        <v>7</v>
      </c>
      <c r="B6" s="7">
        <v>150</v>
      </c>
      <c r="C6" s="7">
        <v>200</v>
      </c>
      <c r="D6" s="7">
        <v>250</v>
      </c>
      <c r="E6" s="7">
        <v>400</v>
      </c>
    </row>
    <row r="7" spans="1:13" x14ac:dyDescent="0.55000000000000004">
      <c r="A7" s="4"/>
      <c r="B7" s="5"/>
    </row>
    <row r="8" spans="1:13" x14ac:dyDescent="0.55000000000000004">
      <c r="A8" s="10" t="s">
        <v>11</v>
      </c>
    </row>
    <row r="9" spans="1:13" ht="18.3" x14ac:dyDescent="0.8">
      <c r="A9" s="23" t="s">
        <v>1</v>
      </c>
      <c r="B9" s="1" t="s">
        <v>3</v>
      </c>
      <c r="C9" s="1" t="s">
        <v>4</v>
      </c>
      <c r="D9" s="1" t="s">
        <v>5</v>
      </c>
      <c r="E9" s="1" t="s">
        <v>6</v>
      </c>
    </row>
    <row r="10" spans="1:13" x14ac:dyDescent="0.55000000000000004">
      <c r="A10" s="23"/>
      <c r="B10" s="19">
        <v>1</v>
      </c>
      <c r="C10" s="20">
        <v>0</v>
      </c>
      <c r="D10" s="2">
        <v>0</v>
      </c>
      <c r="E10" s="2">
        <v>1</v>
      </c>
    </row>
    <row r="12" spans="1:13" ht="45.9" x14ac:dyDescent="0.8">
      <c r="A12" t="s">
        <v>2</v>
      </c>
      <c r="B12" s="1" t="s">
        <v>3</v>
      </c>
      <c r="C12" s="1" t="s">
        <v>4</v>
      </c>
      <c r="D12" s="1" t="s">
        <v>5</v>
      </c>
      <c r="E12" s="1" t="s">
        <v>6</v>
      </c>
      <c r="F12" s="8" t="s">
        <v>8</v>
      </c>
      <c r="G12" s="8" t="s">
        <v>9</v>
      </c>
      <c r="H12" s="16" t="s">
        <v>31</v>
      </c>
    </row>
    <row r="13" spans="1:13" x14ac:dyDescent="0.55000000000000004">
      <c r="A13" t="s">
        <v>17</v>
      </c>
      <c r="B13" s="2">
        <v>1</v>
      </c>
      <c r="C13" s="2"/>
      <c r="D13" s="2"/>
      <c r="E13" s="2"/>
      <c r="F13" s="2">
        <f>SUMPRODUCT(B13:E13,$B$10:$E$10)</f>
        <v>1</v>
      </c>
      <c r="G13" s="2">
        <v>1</v>
      </c>
      <c r="H13" s="2" t="b">
        <f>IF(F13=G13,TRUE,FALSE)</f>
        <v>1</v>
      </c>
    </row>
    <row r="14" spans="1:13" x14ac:dyDescent="0.55000000000000004">
      <c r="A14" t="s">
        <v>18</v>
      </c>
      <c r="B14" s="2"/>
      <c r="C14" s="2">
        <v>1</v>
      </c>
      <c r="D14" s="2"/>
      <c r="E14" s="2">
        <v>1</v>
      </c>
      <c r="F14" s="2">
        <f t="shared" ref="F14:F20" si="0">SUMPRODUCT(B14:E14,$B$10:$E$10)</f>
        <v>1</v>
      </c>
      <c r="G14" s="2">
        <v>1</v>
      </c>
      <c r="H14" s="2" t="b">
        <f t="shared" ref="H14:H20" si="1">IF(F14=G14,TRUE,FALSE)</f>
        <v>1</v>
      </c>
    </row>
    <row r="15" spans="1:13" x14ac:dyDescent="0.55000000000000004">
      <c r="A15" t="s">
        <v>19</v>
      </c>
      <c r="B15" s="2">
        <v>1</v>
      </c>
      <c r="C15" s="2"/>
      <c r="D15" s="2"/>
      <c r="E15" s="2"/>
      <c r="F15" s="2">
        <f t="shared" si="0"/>
        <v>1</v>
      </c>
      <c r="G15" s="2">
        <v>1</v>
      </c>
      <c r="H15" s="2" t="b">
        <f t="shared" si="1"/>
        <v>1</v>
      </c>
    </row>
    <row r="16" spans="1:13" x14ac:dyDescent="0.55000000000000004">
      <c r="A16" t="s">
        <v>20</v>
      </c>
      <c r="B16" s="2">
        <v>1</v>
      </c>
      <c r="C16" s="2"/>
      <c r="D16" s="2"/>
      <c r="E16" s="2"/>
      <c r="F16" s="2">
        <f t="shared" si="0"/>
        <v>1</v>
      </c>
      <c r="G16" s="2">
        <v>1</v>
      </c>
      <c r="H16" s="2" t="b">
        <f t="shared" si="1"/>
        <v>1</v>
      </c>
    </row>
    <row r="17" spans="1:8" x14ac:dyDescent="0.55000000000000004">
      <c r="A17" t="s">
        <v>21</v>
      </c>
      <c r="B17" s="2"/>
      <c r="C17" s="2"/>
      <c r="D17" s="2">
        <v>1</v>
      </c>
      <c r="E17" s="2">
        <v>1</v>
      </c>
      <c r="F17" s="2">
        <f t="shared" si="0"/>
        <v>1</v>
      </c>
      <c r="G17" s="9">
        <v>1</v>
      </c>
      <c r="H17" s="2" t="b">
        <f t="shared" si="1"/>
        <v>1</v>
      </c>
    </row>
    <row r="18" spans="1:8" x14ac:dyDescent="0.55000000000000004">
      <c r="A18" t="s">
        <v>22</v>
      </c>
      <c r="B18" s="2"/>
      <c r="C18" s="2"/>
      <c r="D18" s="2">
        <v>1</v>
      </c>
      <c r="E18" s="2">
        <v>1</v>
      </c>
      <c r="F18" s="2">
        <f t="shared" si="0"/>
        <v>1</v>
      </c>
      <c r="G18" s="9">
        <v>1</v>
      </c>
      <c r="H18" s="2" t="b">
        <f t="shared" si="1"/>
        <v>1</v>
      </c>
    </row>
    <row r="19" spans="1:8" x14ac:dyDescent="0.55000000000000004">
      <c r="A19" t="s">
        <v>23</v>
      </c>
      <c r="B19" s="2">
        <v>1</v>
      </c>
      <c r="C19" s="2"/>
      <c r="D19" s="2"/>
      <c r="E19" s="2"/>
      <c r="F19" s="2">
        <f t="shared" si="0"/>
        <v>1</v>
      </c>
      <c r="G19" s="9">
        <v>1</v>
      </c>
      <c r="H19" s="2" t="b">
        <f t="shared" si="1"/>
        <v>1</v>
      </c>
    </row>
    <row r="20" spans="1:8" x14ac:dyDescent="0.55000000000000004">
      <c r="A20" t="s">
        <v>24</v>
      </c>
      <c r="B20" s="2"/>
      <c r="C20" s="2">
        <v>1</v>
      </c>
      <c r="D20" s="2"/>
      <c r="E20" s="2">
        <v>1</v>
      </c>
      <c r="F20" s="2">
        <f t="shared" si="0"/>
        <v>1</v>
      </c>
      <c r="G20" s="9">
        <v>1</v>
      </c>
      <c r="H20" s="2" t="b">
        <f t="shared" si="1"/>
        <v>1</v>
      </c>
    </row>
  </sheetData>
  <mergeCells count="2">
    <mergeCell ref="D1:K3"/>
    <mergeCell ref="A9:A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20"/>
  <sheetViews>
    <sheetView zoomScale="89" zoomScaleNormal="89" workbookViewId="0">
      <selection activeCell="G9" sqref="G9"/>
    </sheetView>
  </sheetViews>
  <sheetFormatPr defaultRowHeight="15.3" x14ac:dyDescent="0.55000000000000004"/>
  <cols>
    <col min="1" max="1" width="12" customWidth="1"/>
    <col min="6" max="6" width="10.25" customWidth="1"/>
    <col min="7" max="7" width="13" bestFit="1" customWidth="1"/>
    <col min="11" max="11" width="11.59765625" customWidth="1"/>
  </cols>
  <sheetData>
    <row r="1" spans="1:13" ht="31.15" customHeight="1" x14ac:dyDescent="0.55000000000000004">
      <c r="A1" s="17" t="s">
        <v>0</v>
      </c>
      <c r="B1" s="2">
        <f>SUMPRODUCT(B6:E6,B10:E10)</f>
        <v>600</v>
      </c>
      <c r="D1" s="24" t="s">
        <v>26</v>
      </c>
      <c r="E1" s="24"/>
      <c r="F1" s="24"/>
      <c r="G1" s="24"/>
      <c r="H1" s="24"/>
      <c r="I1" s="24"/>
      <c r="J1" s="24"/>
      <c r="K1" s="24"/>
    </row>
    <row r="2" spans="1:13" x14ac:dyDescent="0.55000000000000004">
      <c r="A2" s="17" t="s">
        <v>10</v>
      </c>
      <c r="B2" s="2">
        <f>FLOOR(B1,1)</f>
        <v>600</v>
      </c>
      <c r="D2" s="24"/>
      <c r="E2" s="24"/>
      <c r="F2" s="24"/>
      <c r="G2" s="24"/>
      <c r="H2" s="24"/>
      <c r="I2" s="24"/>
      <c r="J2" s="24"/>
      <c r="K2" s="24"/>
    </row>
    <row r="3" spans="1:13" ht="30.6" x14ac:dyDescent="0.55000000000000004">
      <c r="A3" s="17" t="s">
        <v>29</v>
      </c>
      <c r="B3" s="2" t="b">
        <f>IF(AND(B10=FLOOR(B10,1),C10=FLOOR(C10,1),D10=FLOOR(D10,1),E10=FLOOR(E10,1)),TRUE,FALSE)</f>
        <v>1</v>
      </c>
      <c r="D3" s="24"/>
      <c r="E3" s="24"/>
      <c r="F3" s="24"/>
      <c r="G3" s="24"/>
      <c r="H3" s="24"/>
      <c r="I3" s="24"/>
      <c r="J3" s="24"/>
      <c r="K3" s="24"/>
    </row>
    <row r="4" spans="1:13" ht="30.6" x14ac:dyDescent="0.55000000000000004">
      <c r="A4" s="17" t="s">
        <v>30</v>
      </c>
      <c r="B4" s="2" t="b">
        <f>AND(H13:H20)</f>
        <v>1</v>
      </c>
      <c r="D4" s="15"/>
      <c r="E4" s="15"/>
      <c r="F4" s="15"/>
      <c r="G4" s="15"/>
      <c r="H4" s="15"/>
      <c r="I4" s="15"/>
      <c r="J4" s="15"/>
      <c r="K4" s="15"/>
      <c r="M4" t="s">
        <v>32</v>
      </c>
    </row>
    <row r="5" spans="1:13" x14ac:dyDescent="0.55000000000000004">
      <c r="A5" s="4"/>
      <c r="B5" s="5"/>
      <c r="M5" t="s">
        <v>33</v>
      </c>
    </row>
    <row r="6" spans="1:13" ht="45.9" x14ac:dyDescent="0.55000000000000004">
      <c r="A6" s="6" t="s">
        <v>7</v>
      </c>
      <c r="B6" s="7">
        <v>150</v>
      </c>
      <c r="C6" s="7">
        <v>200</v>
      </c>
      <c r="D6" s="7">
        <v>250</v>
      </c>
      <c r="E6" s="7">
        <v>400</v>
      </c>
    </row>
    <row r="7" spans="1:13" x14ac:dyDescent="0.55000000000000004">
      <c r="A7" s="4"/>
      <c r="B7" s="5"/>
    </row>
    <row r="8" spans="1:13" x14ac:dyDescent="0.55000000000000004">
      <c r="A8" s="10" t="s">
        <v>11</v>
      </c>
    </row>
    <row r="9" spans="1:13" ht="18.3" x14ac:dyDescent="0.8">
      <c r="A9" s="23" t="s">
        <v>1</v>
      </c>
      <c r="B9" s="1" t="s">
        <v>3</v>
      </c>
      <c r="C9" s="1" t="s">
        <v>4</v>
      </c>
      <c r="D9" s="1" t="s">
        <v>5</v>
      </c>
      <c r="E9" s="1" t="s">
        <v>6</v>
      </c>
    </row>
    <row r="10" spans="1:13" x14ac:dyDescent="0.55000000000000004">
      <c r="A10" s="23"/>
      <c r="B10" s="19">
        <v>1</v>
      </c>
      <c r="C10" s="19">
        <v>1</v>
      </c>
      <c r="D10" s="19">
        <v>1</v>
      </c>
      <c r="E10" s="2">
        <v>0</v>
      </c>
    </row>
    <row r="12" spans="1:13" ht="45.9" x14ac:dyDescent="0.8">
      <c r="A12" t="s">
        <v>2</v>
      </c>
      <c r="B12" s="1" t="s">
        <v>3</v>
      </c>
      <c r="C12" s="1" t="s">
        <v>4</v>
      </c>
      <c r="D12" s="1" t="s">
        <v>5</v>
      </c>
      <c r="E12" s="1" t="s">
        <v>6</v>
      </c>
      <c r="F12" s="8" t="s">
        <v>8</v>
      </c>
      <c r="G12" s="8" t="s">
        <v>9</v>
      </c>
      <c r="H12" s="16" t="s">
        <v>31</v>
      </c>
    </row>
    <row r="13" spans="1:13" x14ac:dyDescent="0.55000000000000004">
      <c r="A13" t="s">
        <v>17</v>
      </c>
      <c r="B13" s="2">
        <v>1</v>
      </c>
      <c r="C13" s="2"/>
      <c r="D13" s="2"/>
      <c r="E13" s="2"/>
      <c r="F13" s="2">
        <f>SUMPRODUCT(B13:E13,$B$10:$E$10)</f>
        <v>1</v>
      </c>
      <c r="G13" s="2">
        <v>1</v>
      </c>
      <c r="H13" s="2" t="b">
        <f>IF(F13=G13,TRUE,FALSE)</f>
        <v>1</v>
      </c>
    </row>
    <row r="14" spans="1:13" x14ac:dyDescent="0.55000000000000004">
      <c r="A14" t="s">
        <v>18</v>
      </c>
      <c r="B14" s="2"/>
      <c r="C14" s="2">
        <v>1</v>
      </c>
      <c r="D14" s="2"/>
      <c r="E14" s="2">
        <v>1</v>
      </c>
      <c r="F14" s="2">
        <f t="shared" ref="F14:F20" si="0">SUMPRODUCT(B14:E14,$B$10:$E$10)</f>
        <v>1</v>
      </c>
      <c r="G14" s="2">
        <v>1</v>
      </c>
      <c r="H14" s="2" t="b">
        <f t="shared" ref="H14:H20" si="1">IF(F14=G14,TRUE,FALSE)</f>
        <v>1</v>
      </c>
    </row>
    <row r="15" spans="1:13" x14ac:dyDescent="0.55000000000000004">
      <c r="A15" t="s">
        <v>19</v>
      </c>
      <c r="B15" s="2">
        <v>1</v>
      </c>
      <c r="C15" s="2"/>
      <c r="D15" s="2"/>
      <c r="E15" s="2"/>
      <c r="F15" s="2">
        <f t="shared" si="0"/>
        <v>1</v>
      </c>
      <c r="G15" s="2">
        <v>1</v>
      </c>
      <c r="H15" s="2" t="b">
        <f t="shared" si="1"/>
        <v>1</v>
      </c>
    </row>
    <row r="16" spans="1:13" x14ac:dyDescent="0.55000000000000004">
      <c r="A16" t="s">
        <v>20</v>
      </c>
      <c r="B16" s="2">
        <v>1</v>
      </c>
      <c r="C16" s="2"/>
      <c r="D16" s="2"/>
      <c r="E16" s="2"/>
      <c r="F16" s="2">
        <f t="shared" si="0"/>
        <v>1</v>
      </c>
      <c r="G16" s="2">
        <v>1</v>
      </c>
      <c r="H16" s="2" t="b">
        <f t="shared" si="1"/>
        <v>1</v>
      </c>
    </row>
    <row r="17" spans="1:8" x14ac:dyDescent="0.55000000000000004">
      <c r="A17" t="s">
        <v>21</v>
      </c>
      <c r="B17" s="2"/>
      <c r="C17" s="2"/>
      <c r="D17" s="2">
        <v>1</v>
      </c>
      <c r="E17" s="2">
        <v>1</v>
      </c>
      <c r="F17" s="2">
        <f t="shared" si="0"/>
        <v>1</v>
      </c>
      <c r="G17" s="9">
        <v>1</v>
      </c>
      <c r="H17" s="2" t="b">
        <f t="shared" si="1"/>
        <v>1</v>
      </c>
    </row>
    <row r="18" spans="1:8" x14ac:dyDescent="0.55000000000000004">
      <c r="A18" t="s">
        <v>22</v>
      </c>
      <c r="B18" s="2"/>
      <c r="C18" s="2"/>
      <c r="D18" s="2">
        <v>1</v>
      </c>
      <c r="E18" s="2">
        <v>1</v>
      </c>
      <c r="F18" s="2">
        <f t="shared" si="0"/>
        <v>1</v>
      </c>
      <c r="G18" s="9">
        <v>1</v>
      </c>
      <c r="H18" s="2" t="b">
        <f t="shared" si="1"/>
        <v>1</v>
      </c>
    </row>
    <row r="19" spans="1:8" x14ac:dyDescent="0.55000000000000004">
      <c r="A19" t="s">
        <v>23</v>
      </c>
      <c r="B19" s="2">
        <v>1</v>
      </c>
      <c r="C19" s="2"/>
      <c r="D19" s="2"/>
      <c r="E19" s="2"/>
      <c r="F19" s="2">
        <f t="shared" si="0"/>
        <v>1</v>
      </c>
      <c r="G19" s="9">
        <v>1</v>
      </c>
      <c r="H19" s="2" t="b">
        <f t="shared" si="1"/>
        <v>1</v>
      </c>
    </row>
    <row r="20" spans="1:8" x14ac:dyDescent="0.55000000000000004">
      <c r="A20" t="s">
        <v>24</v>
      </c>
      <c r="B20" s="2"/>
      <c r="C20" s="2">
        <v>1</v>
      </c>
      <c r="D20" s="2"/>
      <c r="E20" s="2">
        <v>1</v>
      </c>
      <c r="F20" s="2">
        <f t="shared" si="0"/>
        <v>1</v>
      </c>
      <c r="G20" s="9">
        <v>1</v>
      </c>
      <c r="H20" s="2" t="b">
        <f t="shared" si="1"/>
        <v>1</v>
      </c>
    </row>
  </sheetData>
  <mergeCells count="2">
    <mergeCell ref="D1:K3"/>
    <mergeCell ref="A9:A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0"/>
  <sheetViews>
    <sheetView zoomScale="89" zoomScaleNormal="89" workbookViewId="0">
      <selection activeCell="A9" sqref="A9:E10"/>
    </sheetView>
  </sheetViews>
  <sheetFormatPr defaultRowHeight="15.3" x14ac:dyDescent="0.55000000000000004"/>
  <cols>
    <col min="1" max="1" width="12" customWidth="1"/>
    <col min="6" max="6" width="10.25" customWidth="1"/>
    <col min="7" max="7" width="13" bestFit="1" customWidth="1"/>
    <col min="11" max="11" width="11.59765625" customWidth="1"/>
  </cols>
  <sheetData>
    <row r="1" spans="1:13" ht="31.15" customHeight="1" x14ac:dyDescent="0.55000000000000004">
      <c r="A1" s="17" t="s">
        <v>0</v>
      </c>
      <c r="B1" s="2">
        <f>SUMPRODUCT(B6:E6,B10:E10)</f>
        <v>600</v>
      </c>
      <c r="D1" s="24" t="s">
        <v>26</v>
      </c>
      <c r="E1" s="24"/>
      <c r="F1" s="24"/>
      <c r="G1" s="24"/>
      <c r="H1" s="24"/>
      <c r="I1" s="24"/>
      <c r="J1" s="24"/>
      <c r="K1" s="24"/>
    </row>
    <row r="2" spans="1:13" x14ac:dyDescent="0.55000000000000004">
      <c r="A2" s="17" t="s">
        <v>10</v>
      </c>
      <c r="B2" s="2">
        <f>FLOOR(B1,1)</f>
        <v>600</v>
      </c>
      <c r="D2" s="24"/>
      <c r="E2" s="24"/>
      <c r="F2" s="24"/>
      <c r="G2" s="24"/>
      <c r="H2" s="24"/>
      <c r="I2" s="24"/>
      <c r="J2" s="24"/>
      <c r="K2" s="24"/>
    </row>
    <row r="3" spans="1:13" ht="30.6" x14ac:dyDescent="0.55000000000000004">
      <c r="A3" s="17" t="s">
        <v>29</v>
      </c>
      <c r="B3" s="2" t="b">
        <f>IF(AND(B10=FLOOR(B10,1),C10=FLOOR(C10,1),D10=FLOOR(D10,1),E10=FLOOR(E10,1)),TRUE,FALSE)</f>
        <v>1</v>
      </c>
      <c r="D3" s="24"/>
      <c r="E3" s="24"/>
      <c r="F3" s="24"/>
      <c r="G3" s="24"/>
      <c r="H3" s="24"/>
      <c r="I3" s="24"/>
      <c r="J3" s="24"/>
      <c r="K3" s="24"/>
    </row>
    <row r="4" spans="1:13" ht="30.6" x14ac:dyDescent="0.55000000000000004">
      <c r="A4" s="17" t="s">
        <v>30</v>
      </c>
      <c r="B4" s="2" t="b">
        <f>AND(H13:H20)</f>
        <v>1</v>
      </c>
      <c r="D4" s="15"/>
      <c r="E4" s="15"/>
      <c r="F4" s="15"/>
      <c r="G4" s="15"/>
      <c r="H4" s="15"/>
      <c r="I4" s="15"/>
      <c r="J4" s="15"/>
      <c r="K4" s="15"/>
      <c r="M4" t="s">
        <v>32</v>
      </c>
    </row>
    <row r="5" spans="1:13" x14ac:dyDescent="0.55000000000000004">
      <c r="A5" s="4"/>
      <c r="B5" s="5"/>
      <c r="M5" t="s">
        <v>33</v>
      </c>
    </row>
    <row r="6" spans="1:13" ht="45.9" x14ac:dyDescent="0.55000000000000004">
      <c r="A6" s="6" t="s">
        <v>7</v>
      </c>
      <c r="B6" s="7">
        <v>150</v>
      </c>
      <c r="C6" s="7">
        <v>200</v>
      </c>
      <c r="D6" s="7">
        <v>250</v>
      </c>
      <c r="E6" s="7">
        <v>400</v>
      </c>
    </row>
    <row r="7" spans="1:13" x14ac:dyDescent="0.55000000000000004">
      <c r="A7" s="4"/>
      <c r="B7" s="5"/>
    </row>
    <row r="8" spans="1:13" x14ac:dyDescent="0.55000000000000004">
      <c r="A8" s="10" t="s">
        <v>11</v>
      </c>
    </row>
    <row r="9" spans="1:13" ht="18.3" x14ac:dyDescent="0.8">
      <c r="A9" s="23" t="s">
        <v>1</v>
      </c>
      <c r="B9" s="1" t="s">
        <v>3</v>
      </c>
      <c r="C9" s="1" t="s">
        <v>4</v>
      </c>
      <c r="D9" s="1" t="s">
        <v>5</v>
      </c>
      <c r="E9" s="1" t="s">
        <v>6</v>
      </c>
    </row>
    <row r="10" spans="1:13" x14ac:dyDescent="0.55000000000000004">
      <c r="A10" s="23"/>
      <c r="B10" s="19">
        <v>1</v>
      </c>
      <c r="C10" s="19">
        <v>1</v>
      </c>
      <c r="D10" s="19">
        <v>1</v>
      </c>
      <c r="E10" s="19">
        <v>0</v>
      </c>
    </row>
    <row r="12" spans="1:13" ht="45.9" x14ac:dyDescent="0.8">
      <c r="A12" t="s">
        <v>2</v>
      </c>
      <c r="B12" s="1" t="s">
        <v>3</v>
      </c>
      <c r="C12" s="1" t="s">
        <v>4</v>
      </c>
      <c r="D12" s="1" t="s">
        <v>5</v>
      </c>
      <c r="E12" s="1" t="s">
        <v>6</v>
      </c>
      <c r="F12" s="8" t="s">
        <v>8</v>
      </c>
      <c r="G12" s="8" t="s">
        <v>9</v>
      </c>
      <c r="H12" s="16" t="s">
        <v>31</v>
      </c>
    </row>
    <row r="13" spans="1:13" x14ac:dyDescent="0.55000000000000004">
      <c r="A13" t="s">
        <v>17</v>
      </c>
      <c r="B13" s="2">
        <v>1</v>
      </c>
      <c r="C13" s="2"/>
      <c r="D13" s="2"/>
      <c r="E13" s="2"/>
      <c r="F13" s="2">
        <f>SUMPRODUCT(B13:E13,$B$10:$E$10)</f>
        <v>1</v>
      </c>
      <c r="G13" s="2">
        <v>1</v>
      </c>
      <c r="H13" s="2" t="b">
        <f>IF(F13=G13,TRUE,FALSE)</f>
        <v>1</v>
      </c>
    </row>
    <row r="14" spans="1:13" x14ac:dyDescent="0.55000000000000004">
      <c r="A14" t="s">
        <v>18</v>
      </c>
      <c r="B14" s="2"/>
      <c r="C14" s="2">
        <v>1</v>
      </c>
      <c r="D14" s="2"/>
      <c r="E14" s="2">
        <v>1</v>
      </c>
      <c r="F14" s="2">
        <f t="shared" ref="F14:F20" si="0">SUMPRODUCT(B14:E14,$B$10:$E$10)</f>
        <v>1</v>
      </c>
      <c r="G14" s="2">
        <v>1</v>
      </c>
      <c r="H14" s="2" t="b">
        <f t="shared" ref="H14:H20" si="1">IF(F14=G14,TRUE,FALSE)</f>
        <v>1</v>
      </c>
    </row>
    <row r="15" spans="1:13" x14ac:dyDescent="0.55000000000000004">
      <c r="A15" t="s">
        <v>19</v>
      </c>
      <c r="B15" s="2">
        <v>1</v>
      </c>
      <c r="C15" s="2"/>
      <c r="D15" s="2"/>
      <c r="E15" s="2"/>
      <c r="F15" s="2">
        <f t="shared" si="0"/>
        <v>1</v>
      </c>
      <c r="G15" s="2">
        <v>1</v>
      </c>
      <c r="H15" s="2" t="b">
        <f t="shared" si="1"/>
        <v>1</v>
      </c>
    </row>
    <row r="16" spans="1:13" x14ac:dyDescent="0.55000000000000004">
      <c r="A16" t="s">
        <v>20</v>
      </c>
      <c r="B16" s="2">
        <v>1</v>
      </c>
      <c r="C16" s="2"/>
      <c r="D16" s="2"/>
      <c r="E16" s="2"/>
      <c r="F16" s="2">
        <f t="shared" si="0"/>
        <v>1</v>
      </c>
      <c r="G16" s="2">
        <v>1</v>
      </c>
      <c r="H16" s="2" t="b">
        <f t="shared" si="1"/>
        <v>1</v>
      </c>
    </row>
    <row r="17" spans="1:8" x14ac:dyDescent="0.55000000000000004">
      <c r="A17" t="s">
        <v>21</v>
      </c>
      <c r="B17" s="2"/>
      <c r="C17" s="2"/>
      <c r="D17" s="2">
        <v>1</v>
      </c>
      <c r="E17" s="2">
        <v>1</v>
      </c>
      <c r="F17" s="2">
        <f t="shared" si="0"/>
        <v>1</v>
      </c>
      <c r="G17" s="9">
        <v>1</v>
      </c>
      <c r="H17" s="2" t="b">
        <f t="shared" si="1"/>
        <v>1</v>
      </c>
    </row>
    <row r="18" spans="1:8" x14ac:dyDescent="0.55000000000000004">
      <c r="A18" t="s">
        <v>22</v>
      </c>
      <c r="B18" s="2"/>
      <c r="C18" s="2"/>
      <c r="D18" s="2">
        <v>1</v>
      </c>
      <c r="E18" s="2">
        <v>1</v>
      </c>
      <c r="F18" s="2">
        <f t="shared" si="0"/>
        <v>1</v>
      </c>
      <c r="G18" s="9">
        <v>1</v>
      </c>
      <c r="H18" s="2" t="b">
        <f t="shared" si="1"/>
        <v>1</v>
      </c>
    </row>
    <row r="19" spans="1:8" x14ac:dyDescent="0.55000000000000004">
      <c r="A19" t="s">
        <v>23</v>
      </c>
      <c r="B19" s="2">
        <v>1</v>
      </c>
      <c r="C19" s="2"/>
      <c r="D19" s="2"/>
      <c r="E19" s="2"/>
      <c r="F19" s="2">
        <f t="shared" si="0"/>
        <v>1</v>
      </c>
      <c r="G19" s="9">
        <v>1</v>
      </c>
      <c r="H19" s="2" t="b">
        <f t="shared" si="1"/>
        <v>1</v>
      </c>
    </row>
    <row r="20" spans="1:8" x14ac:dyDescent="0.55000000000000004">
      <c r="A20" t="s">
        <v>24</v>
      </c>
      <c r="B20" s="2"/>
      <c r="C20" s="2">
        <v>1</v>
      </c>
      <c r="D20" s="2"/>
      <c r="E20" s="2">
        <v>1</v>
      </c>
      <c r="F20" s="2">
        <f t="shared" si="0"/>
        <v>1</v>
      </c>
      <c r="G20" s="9">
        <v>1</v>
      </c>
      <c r="H20" s="2" t="b">
        <f t="shared" si="1"/>
        <v>1</v>
      </c>
    </row>
  </sheetData>
  <mergeCells count="2">
    <mergeCell ref="D1:K3"/>
    <mergeCell ref="A9:A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vt:i4>
      </vt:variant>
    </vt:vector>
  </HeadingPairs>
  <TitlesOfParts>
    <vt:vector size="22" baseType="lpstr">
      <vt:lpstr>Summary</vt:lpstr>
      <vt:lpstr>Original</vt:lpstr>
      <vt:lpstr>0xxx</vt:lpstr>
      <vt:lpstr>10xx</vt:lpstr>
      <vt:lpstr>111x</vt:lpstr>
      <vt:lpstr>1110</vt:lpstr>
      <vt:lpstr>'0xxx'!Bound</vt:lpstr>
      <vt:lpstr>'10xx'!Bound</vt:lpstr>
      <vt:lpstr>'1110'!Bound</vt:lpstr>
      <vt:lpstr>'111x'!Bound</vt:lpstr>
      <vt:lpstr>Original!Bound</vt:lpstr>
      <vt:lpstr>'0xxx'!ConstraintsFeasible</vt:lpstr>
      <vt:lpstr>'10xx'!ConstraintsFeasible</vt:lpstr>
      <vt:lpstr>'1110'!ConstraintsFeasible</vt:lpstr>
      <vt:lpstr>'111x'!ConstraintsFeasible</vt:lpstr>
      <vt:lpstr>Original!ConstraintsFeasible</vt:lpstr>
      <vt:lpstr>'0xxx'!Feasible</vt:lpstr>
      <vt:lpstr>'10xx'!Feasible</vt:lpstr>
      <vt:lpstr>'1110'!Feasible</vt:lpstr>
      <vt:lpstr>'111x'!Feasible</vt:lpstr>
      <vt:lpstr>Original!Feasible</vt:lpstr>
      <vt:lpstr>Summary!HeadProblem</vt:lpstr>
    </vt:vector>
  </TitlesOfParts>
  <Company>William &amp; Mary - Raymond A. Mason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James</dc:creator>
  <cp:lastModifiedBy>VJ</cp:lastModifiedBy>
  <dcterms:created xsi:type="dcterms:W3CDTF">2016-09-23T16:50:52Z</dcterms:created>
  <dcterms:modified xsi:type="dcterms:W3CDTF">2016-10-14T19:25:38Z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e4db6787-6e24-481b-9b18-f152c964d6fb</vt:lpwstr>
  </property>
</Properties>
</file>