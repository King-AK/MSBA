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127" codeName="{1563B04E-AB91-75FE-B8BC-B18F01832D57}"/>
  <workbookPr codeName="ThisWorkbook" defaultThemeVersion="164011"/>
  <mc:AlternateContent xmlns:mc="http://schemas.openxmlformats.org/markup-compatibility/2006">
    <mc:Choice Requires="x15">
      <x15ac:absPath xmlns:x15ac="http://schemas.microsoft.com/office/spreadsheetml/2010/11/ac" url="C:\Users\VJ\Documents\MSBA\Optimization\Branch and Bound\"/>
    </mc:Choice>
  </mc:AlternateContent>
  <bookViews>
    <workbookView xWindow="0" yWindow="0" windowWidth="23040" windowHeight="8232"/>
  </bookViews>
  <sheets>
    <sheet name="Summary" sheetId="5" r:id="rId1"/>
    <sheet name="Original" sheetId="1" r:id="rId2"/>
    <sheet name="00xx" sheetId="6" r:id="rId3"/>
    <sheet name="01xx" sheetId="7" r:id="rId4"/>
    <sheet name="010x" sheetId="8" r:id="rId5"/>
    <sheet name="011xfail" sheetId="9" r:id="rId6"/>
    <sheet name="Pass0100" sheetId="10" r:id="rId7"/>
    <sheet name="0101fail" sheetId="11" r:id="rId8"/>
    <sheet name="00xxVert" sheetId="13" r:id="rId9"/>
    <sheet name="01xxVert" sheetId="14" r:id="rId10"/>
    <sheet name="01xxVert00xx" sheetId="15" r:id="rId11"/>
    <sheet name="01xxVert01xxfail" sheetId="16" r:id="rId12"/>
  </sheets>
  <definedNames>
    <definedName name="Bound" localSheetId="2">'00xx'!$B$2</definedName>
    <definedName name="Bound" localSheetId="8">'00xxVert'!$B$2</definedName>
    <definedName name="Bound" localSheetId="7">'0101fail'!$B$2</definedName>
    <definedName name="Bound" localSheetId="4">'010x'!$B$2</definedName>
    <definedName name="Bound" localSheetId="5">'011xfail'!$B$2</definedName>
    <definedName name="Bound" localSheetId="3">'01xx'!$B$2</definedName>
    <definedName name="Bound" localSheetId="9">'01xxVert'!$B$2</definedName>
    <definedName name="Bound" localSheetId="10">'01xxVert00xx'!$B$2</definedName>
    <definedName name="Bound" localSheetId="11">'01xxVert01xxfail'!$B$2</definedName>
    <definedName name="Bound" localSheetId="1">Original!$B$2</definedName>
    <definedName name="Bound" localSheetId="6">Pass0100!$B$2</definedName>
    <definedName name="ConstraintsFeasible" localSheetId="2">'00xx'!$B$4</definedName>
    <definedName name="ConstraintsFeasible" localSheetId="8">'00xxVert'!$B$4</definedName>
    <definedName name="ConstraintsFeasible" localSheetId="7">'0101fail'!$B$4</definedName>
    <definedName name="ConstraintsFeasible" localSheetId="4">'010x'!$B$4</definedName>
    <definedName name="ConstraintsFeasible" localSheetId="5">'011xfail'!$B$4</definedName>
    <definedName name="ConstraintsFeasible" localSheetId="3">'01xx'!$B$4</definedName>
    <definedName name="ConstraintsFeasible" localSheetId="9">'01xxVert'!$B$4</definedName>
    <definedName name="ConstraintsFeasible" localSheetId="10">'01xxVert00xx'!$B$4</definedName>
    <definedName name="ConstraintsFeasible" localSheetId="11">'01xxVert01xxfail'!$B$4</definedName>
    <definedName name="ConstraintsFeasible" localSheetId="1">Original!$B$4</definedName>
    <definedName name="ConstraintsFeasible" localSheetId="6">Pass0100!$B$4</definedName>
    <definedName name="Feasible" localSheetId="2">'00xx'!$B$3</definedName>
    <definedName name="Feasible" localSheetId="8">'00xxVert'!$B$3</definedName>
    <definedName name="Feasible" localSheetId="7">'0101fail'!$B$3</definedName>
    <definedName name="Feasible" localSheetId="4">'010x'!$B$3</definedName>
    <definedName name="Feasible" localSheetId="5">'011xfail'!$B$3</definedName>
    <definedName name="Feasible" localSheetId="3">'01xx'!$B$3</definedName>
    <definedName name="Feasible" localSheetId="9">'01xxVert'!$B$3</definedName>
    <definedName name="Feasible" localSheetId="10">'01xxVert00xx'!$B$3</definedName>
    <definedName name="Feasible" localSheetId="11">'01xxVert01xxfail'!$B$3</definedName>
    <definedName name="Feasible" localSheetId="1">Original!$B$3</definedName>
    <definedName name="Feasible" localSheetId="6">Pass0100!$B$3</definedName>
    <definedName name="HeadProblem" localSheetId="0">Summary!$A$3</definedName>
    <definedName name="sheetRange" localSheetId="0">OFFSET(Summary!HeadProblem,1,0,COUNTA(OFFSET(Summary!HeadProblem,1,0,ROWS(Summary!XEZ:XEZ)-ROW(Summary!HeadProblem))),1)</definedName>
    <definedName name="solver_adj" localSheetId="2" hidden="1">'00xx'!$E$16:$F$16,'00xx'!$E$17:$F$17,'00xx'!$F$18,'00xx'!$C$17:$C$19,'00xx'!$D$18:$D$19,'00xx'!$E$19</definedName>
    <definedName name="solver_adj" localSheetId="8" hidden="1">'00xxVert'!$D$16:$F$16,'00xxVert'!$E$17:$F$17,'00xxVert'!$F$18,'00xxVert'!$C$18:$C$19,'00xxVert'!$D$18:$D$19,'00xxVert'!$E$19</definedName>
    <definedName name="solver_adj" localSheetId="7" hidden="1">'0101fail'!$E$17:$F$17,'0101fail'!$F$18,'0101fail'!$C$17:$C$19,'0101fail'!$D$18:$D$19,'0101fail'!$E$19</definedName>
    <definedName name="solver_adj" localSheetId="4" hidden="1">'010x'!$F$16,'010x'!$E$17:$F$17,'010x'!$F$18,'010x'!$C$17:$C$19,'010x'!$D$18:$D$19,'010x'!$E$19</definedName>
    <definedName name="solver_adj" localSheetId="5" hidden="1">'011xfail'!$F$16,'011xfail'!$E$17:$F$17,'011xfail'!$F$18,'011xfail'!$C$17:$C$19,'011xfail'!$D$18:$D$19,'011xfail'!$E$19</definedName>
    <definedName name="solver_adj" localSheetId="3" hidden="1">'01xx'!$E$16:$F$16,'01xx'!$E$17:$F$17,'01xx'!$F$18,'01xx'!$C$17:$C$19,'01xx'!$D$18:$D$19,'01xx'!$E$19</definedName>
    <definedName name="solver_adj" localSheetId="9" hidden="1">'01xxVert'!$D$16:$F$16,'01xxVert'!$E$17:$F$17,'01xxVert'!$F$18,'01xxVert'!$C$18:$C$19,'01xxVert'!$D$18:$D$19,'01xxVert'!$E$19</definedName>
    <definedName name="solver_adj" localSheetId="10" hidden="1">'01xxVert00xx'!$E$16:$F$16,'01xxVert00xx'!$E$17:$F$17,'01xxVert00xx'!$F$18,'01xxVert00xx'!$C$18:$C$19,'01xxVert00xx'!$D$18:$D$19,'01xxVert00xx'!$E$19</definedName>
    <definedName name="solver_adj" localSheetId="11" hidden="1">'01xxVert01xxfail'!$E$16:$F$16,'01xxVert01xxfail'!$E$17:$F$17,'01xxVert01xxfail'!$F$18,'01xxVert01xxfail'!$C$18:$C$19,'01xxVert01xxfail'!$D$18:$D$19,'01xxVert01xxfail'!$E$19</definedName>
    <definedName name="solver_adj" localSheetId="1" hidden="1">Original!$D$16:$F$16,Original!$E$17:$F$17,Original!$F$18,Original!$C$17:$C$19,Original!$D$18:$D$19,Original!$E$19</definedName>
    <definedName name="solver_adj" localSheetId="6" hidden="1">Pass0100!$E$17:$F$17,Pass0100!$F$18,Pass0100!$C$17:$C$19,Pass0100!$D$18:$D$19,Pass0100!$E$19</definedName>
    <definedName name="solver_cvg" localSheetId="2" hidden="1">0.0001</definedName>
    <definedName name="solver_cvg" localSheetId="8" hidden="1">0.0001</definedName>
    <definedName name="solver_cvg" localSheetId="7" hidden="1">0.0001</definedName>
    <definedName name="solver_cvg" localSheetId="4" hidden="1">0.0001</definedName>
    <definedName name="solver_cvg" localSheetId="5" hidden="1">0.0001</definedName>
    <definedName name="solver_cvg" localSheetId="3" hidden="1">0.0001</definedName>
    <definedName name="solver_cvg" localSheetId="9" hidden="1">0.0001</definedName>
    <definedName name="solver_cvg" localSheetId="10" hidden="1">0.0001</definedName>
    <definedName name="solver_cvg" localSheetId="11" hidden="1">0.0001</definedName>
    <definedName name="solver_cvg" localSheetId="1" hidden="1">0.0001</definedName>
    <definedName name="solver_cvg" localSheetId="6" hidden="1">0.0001</definedName>
    <definedName name="solver_drv" localSheetId="2" hidden="1">1</definedName>
    <definedName name="solver_drv" localSheetId="8" hidden="1">1</definedName>
    <definedName name="solver_drv" localSheetId="7" hidden="1">1</definedName>
    <definedName name="solver_drv" localSheetId="4" hidden="1">1</definedName>
    <definedName name="solver_drv" localSheetId="5" hidden="1">1</definedName>
    <definedName name="solver_drv" localSheetId="3" hidden="1">1</definedName>
    <definedName name="solver_drv" localSheetId="9" hidden="1">1</definedName>
    <definedName name="solver_drv" localSheetId="10" hidden="1">1</definedName>
    <definedName name="solver_drv" localSheetId="11" hidden="1">1</definedName>
    <definedName name="solver_drv" localSheetId="1" hidden="1">1</definedName>
    <definedName name="solver_drv" localSheetId="6" hidden="1">1</definedName>
    <definedName name="solver_eng" localSheetId="2" hidden="1">2</definedName>
    <definedName name="solver_eng" localSheetId="8" hidden="1">2</definedName>
    <definedName name="solver_eng" localSheetId="7" hidden="1">2</definedName>
    <definedName name="solver_eng" localSheetId="4" hidden="1">2</definedName>
    <definedName name="solver_eng" localSheetId="5" hidden="1">2</definedName>
    <definedName name="solver_eng" localSheetId="3" hidden="1">2</definedName>
    <definedName name="solver_eng" localSheetId="9" hidden="1">2</definedName>
    <definedName name="solver_eng" localSheetId="10" hidden="1">2</definedName>
    <definedName name="solver_eng" localSheetId="11" hidden="1">2</definedName>
    <definedName name="solver_eng" localSheetId="1" hidden="1">2</definedName>
    <definedName name="solver_eng" localSheetId="6" hidden="1">2</definedName>
    <definedName name="solver_est" localSheetId="2" hidden="1">1</definedName>
    <definedName name="solver_est" localSheetId="8" hidden="1">1</definedName>
    <definedName name="solver_est" localSheetId="7" hidden="1">1</definedName>
    <definedName name="solver_est" localSheetId="4" hidden="1">1</definedName>
    <definedName name="solver_est" localSheetId="5" hidden="1">1</definedName>
    <definedName name="solver_est" localSheetId="3" hidden="1">1</definedName>
    <definedName name="solver_est" localSheetId="9" hidden="1">1</definedName>
    <definedName name="solver_est" localSheetId="10" hidden="1">1</definedName>
    <definedName name="solver_est" localSheetId="11" hidden="1">1</definedName>
    <definedName name="solver_est" localSheetId="1" hidden="1">1</definedName>
    <definedName name="solver_est" localSheetId="6" hidden="1">1</definedName>
    <definedName name="solver_itr" localSheetId="2" hidden="1">2147483647</definedName>
    <definedName name="solver_itr" localSheetId="8" hidden="1">2147483647</definedName>
    <definedName name="solver_itr" localSheetId="7" hidden="1">2147483647</definedName>
    <definedName name="solver_itr" localSheetId="4" hidden="1">2147483647</definedName>
    <definedName name="solver_itr" localSheetId="5" hidden="1">2147483647</definedName>
    <definedName name="solver_itr" localSheetId="3" hidden="1">2147483647</definedName>
    <definedName name="solver_itr" localSheetId="9" hidden="1">2147483647</definedName>
    <definedName name="solver_itr" localSheetId="10" hidden="1">2147483647</definedName>
    <definedName name="solver_itr" localSheetId="11" hidden="1">2147483647</definedName>
    <definedName name="solver_itr" localSheetId="1" hidden="1">2147483647</definedName>
    <definedName name="solver_itr" localSheetId="6" hidden="1">2147483647</definedName>
    <definedName name="solver_lhs1" localSheetId="2" hidden="1">'00xx'!$C$153:$F$153</definedName>
    <definedName name="solver_lhs1" localSheetId="8" hidden="1">'00xxVert'!$C$153:$F$153</definedName>
    <definedName name="solver_lhs1" localSheetId="7" hidden="1">'0101fail'!$C$153:$F$153</definedName>
    <definedName name="solver_lhs1" localSheetId="4" hidden="1">'010x'!$C$153:$F$153</definedName>
    <definedName name="solver_lhs1" localSheetId="5" hidden="1">'011xfail'!$C$153:$F$153</definedName>
    <definedName name="solver_lhs1" localSheetId="3" hidden="1">'01xx'!$C$153:$F$153</definedName>
    <definedName name="solver_lhs1" localSheetId="9" hidden="1">'01xxVert'!$C$153:$F$153</definedName>
    <definedName name="solver_lhs1" localSheetId="10" hidden="1">'01xxVert00xx'!$C$153:$F$153</definedName>
    <definedName name="solver_lhs1" localSheetId="11" hidden="1">'01xxVert01xxfail'!$C$153:$F$153</definedName>
    <definedName name="solver_lhs1" localSheetId="1" hidden="1">Original!$C$153:$F$153</definedName>
    <definedName name="solver_lhs1" localSheetId="6" hidden="1">Pass0100!$C$153:$F$153</definedName>
    <definedName name="solver_lhs10" localSheetId="2" hidden="1">'00xx'!$G$146</definedName>
    <definedName name="solver_lhs10" localSheetId="8" hidden="1">'00xxVert'!$G$146</definedName>
    <definedName name="solver_lhs10" localSheetId="7" hidden="1">'0101fail'!$G$146</definedName>
    <definedName name="solver_lhs10" localSheetId="4" hidden="1">'010x'!$G$146</definedName>
    <definedName name="solver_lhs10" localSheetId="5" hidden="1">'011xfail'!$G$146</definedName>
    <definedName name="solver_lhs10" localSheetId="3" hidden="1">'01xx'!$G$146</definedName>
    <definedName name="solver_lhs10" localSheetId="9" hidden="1">'01xxVert'!$G$146</definedName>
    <definedName name="solver_lhs10" localSheetId="10" hidden="1">'01xxVert00xx'!$G$146</definedName>
    <definedName name="solver_lhs10" localSheetId="11" hidden="1">'01xxVert01xxfail'!$G$146</definedName>
    <definedName name="solver_lhs10" localSheetId="1" hidden="1">Original!$G$146</definedName>
    <definedName name="solver_lhs10" localSheetId="6" hidden="1">Pass0100!$G$146</definedName>
    <definedName name="solver_lhs11" localSheetId="2" hidden="1">'00xx'!$G$34</definedName>
    <definedName name="solver_lhs11" localSheetId="8" hidden="1">'00xxVert'!$G$34</definedName>
    <definedName name="solver_lhs11" localSheetId="7" hidden="1">'0101fail'!$G$34</definedName>
    <definedName name="solver_lhs11" localSheetId="4" hidden="1">'010x'!$G$34</definedName>
    <definedName name="solver_lhs11" localSheetId="5" hidden="1">'011xfail'!$G$34</definedName>
    <definedName name="solver_lhs11" localSheetId="3" hidden="1">'01xx'!$G$34</definedName>
    <definedName name="solver_lhs11" localSheetId="9" hidden="1">'01xxVert'!$G$34</definedName>
    <definedName name="solver_lhs11" localSheetId="10" hidden="1">'01xxVert00xx'!$G$34</definedName>
    <definedName name="solver_lhs11" localSheetId="11" hidden="1">'01xxVert01xxfail'!$G$34</definedName>
    <definedName name="solver_lhs11" localSheetId="1" hidden="1">Original!$G$34</definedName>
    <definedName name="solver_lhs11" localSheetId="6" hidden="1">Pass0100!$G$34</definedName>
    <definedName name="solver_lhs12" localSheetId="2" hidden="1">'00xx'!$G$42</definedName>
    <definedName name="solver_lhs12" localSheetId="8" hidden="1">'00xxVert'!$G$42</definedName>
    <definedName name="solver_lhs12" localSheetId="7" hidden="1">'0101fail'!$G$42</definedName>
    <definedName name="solver_lhs12" localSheetId="4" hidden="1">'010x'!$G$42</definedName>
    <definedName name="solver_lhs12" localSheetId="5" hidden="1">'011xfail'!$G$42</definedName>
    <definedName name="solver_lhs12" localSheetId="3" hidden="1">'01xx'!$G$42</definedName>
    <definedName name="solver_lhs12" localSheetId="9" hidden="1">'01xxVert'!$G$42</definedName>
    <definedName name="solver_lhs12" localSheetId="10" hidden="1">'01xxVert00xx'!$G$42</definedName>
    <definedName name="solver_lhs12" localSheetId="11" hidden="1">'01xxVert01xxfail'!$G$42</definedName>
    <definedName name="solver_lhs12" localSheetId="1" hidden="1">Original!$G$42</definedName>
    <definedName name="solver_lhs12" localSheetId="6" hidden="1">Pass0100!$G$42</definedName>
    <definedName name="solver_lhs13" localSheetId="2" hidden="1">'00xx'!$G$50</definedName>
    <definedName name="solver_lhs13" localSheetId="8" hidden="1">'00xxVert'!$G$50</definedName>
    <definedName name="solver_lhs13" localSheetId="7" hidden="1">'0101fail'!$G$50</definedName>
    <definedName name="solver_lhs13" localSheetId="4" hidden="1">'010x'!$G$50</definedName>
    <definedName name="solver_lhs13" localSheetId="5" hidden="1">'011xfail'!$G$50</definedName>
    <definedName name="solver_lhs13" localSheetId="3" hidden="1">'01xx'!$G$50</definedName>
    <definedName name="solver_lhs13" localSheetId="9" hidden="1">'01xxVert'!$G$50</definedName>
    <definedName name="solver_lhs13" localSheetId="10" hidden="1">'01xxVert00xx'!$G$50</definedName>
    <definedName name="solver_lhs13" localSheetId="11" hidden="1">'01xxVert01xxfail'!$G$50</definedName>
    <definedName name="solver_lhs13" localSheetId="1" hidden="1">Original!$G$50</definedName>
    <definedName name="solver_lhs13" localSheetId="6" hidden="1">Pass0100!$G$50</definedName>
    <definedName name="solver_lhs14" localSheetId="2" hidden="1">'00xx'!$G$58</definedName>
    <definedName name="solver_lhs14" localSheetId="8" hidden="1">'00xxVert'!$G$58</definedName>
    <definedName name="solver_lhs14" localSheetId="7" hidden="1">'0101fail'!$G$58</definedName>
    <definedName name="solver_lhs14" localSheetId="4" hidden="1">'010x'!$G$58</definedName>
    <definedName name="solver_lhs14" localSheetId="5" hidden="1">'011xfail'!$G$58</definedName>
    <definedName name="solver_lhs14" localSheetId="3" hidden="1">'01xx'!$G$58</definedName>
    <definedName name="solver_lhs14" localSheetId="9" hidden="1">'01xxVert'!$G$58</definedName>
    <definedName name="solver_lhs14" localSheetId="10" hidden="1">'01xxVert00xx'!$G$58</definedName>
    <definedName name="solver_lhs14" localSheetId="11" hidden="1">'01xxVert01xxfail'!$G$58</definedName>
    <definedName name="solver_lhs14" localSheetId="1" hidden="1">Original!$G$58</definedName>
    <definedName name="solver_lhs14" localSheetId="6" hidden="1">Pass0100!$G$58</definedName>
    <definedName name="solver_lhs15" localSheetId="2" hidden="1">'00xx'!$G$66</definedName>
    <definedName name="solver_lhs15" localSheetId="8" hidden="1">'00xxVert'!$G$66</definedName>
    <definedName name="solver_lhs15" localSheetId="7" hidden="1">'0101fail'!$G$66</definedName>
    <definedName name="solver_lhs15" localSheetId="4" hidden="1">'010x'!$G$66</definedName>
    <definedName name="solver_lhs15" localSheetId="5" hidden="1">'011xfail'!$G$66</definedName>
    <definedName name="solver_lhs15" localSheetId="3" hidden="1">'01xx'!$G$66</definedName>
    <definedName name="solver_lhs15" localSheetId="9" hidden="1">'01xxVert'!$G$66</definedName>
    <definedName name="solver_lhs15" localSheetId="10" hidden="1">'01xxVert00xx'!$G$66</definedName>
    <definedName name="solver_lhs15" localSheetId="11" hidden="1">'01xxVert01xxfail'!$G$66</definedName>
    <definedName name="solver_lhs15" localSheetId="1" hidden="1">Original!$G$66</definedName>
    <definedName name="solver_lhs15" localSheetId="6" hidden="1">Pass0100!$G$66</definedName>
    <definedName name="solver_lhs16" localSheetId="2" hidden="1">'00xx'!$G$74</definedName>
    <definedName name="solver_lhs16" localSheetId="8" hidden="1">'00xxVert'!$G$74</definedName>
    <definedName name="solver_lhs16" localSheetId="7" hidden="1">'0101fail'!$G$74</definedName>
    <definedName name="solver_lhs16" localSheetId="4" hidden="1">'010x'!$G$74</definedName>
    <definedName name="solver_lhs16" localSheetId="5" hidden="1">'011xfail'!$G$74</definedName>
    <definedName name="solver_lhs16" localSheetId="3" hidden="1">'01xx'!$G$74</definedName>
    <definedName name="solver_lhs16" localSheetId="9" hidden="1">'01xxVert'!$G$74</definedName>
    <definedName name="solver_lhs16" localSheetId="10" hidden="1">'01xxVert00xx'!$G$74</definedName>
    <definedName name="solver_lhs16" localSheetId="11" hidden="1">'01xxVert01xxfail'!$G$74</definedName>
    <definedName name="solver_lhs16" localSheetId="1" hidden="1">Original!$G$74</definedName>
    <definedName name="solver_lhs16" localSheetId="6" hidden="1">Pass0100!$G$74</definedName>
    <definedName name="solver_lhs17" localSheetId="2" hidden="1">'00xx'!$G$82</definedName>
    <definedName name="solver_lhs17" localSheetId="8" hidden="1">'00xxVert'!$G$82</definedName>
    <definedName name="solver_lhs17" localSheetId="7" hidden="1">'0101fail'!$G$82</definedName>
    <definedName name="solver_lhs17" localSheetId="4" hidden="1">'010x'!$G$82</definedName>
    <definedName name="solver_lhs17" localSheetId="5" hidden="1">'011xfail'!$G$82</definedName>
    <definedName name="solver_lhs17" localSheetId="3" hidden="1">'01xx'!$G$82</definedName>
    <definedName name="solver_lhs17" localSheetId="9" hidden="1">'01xxVert'!$G$82</definedName>
    <definedName name="solver_lhs17" localSheetId="10" hidden="1">'01xxVert00xx'!$G$82</definedName>
    <definedName name="solver_lhs17" localSheetId="11" hidden="1">'01xxVert01xxfail'!$G$82</definedName>
    <definedName name="solver_lhs17" localSheetId="1" hidden="1">Original!$G$82</definedName>
    <definedName name="solver_lhs17" localSheetId="6" hidden="1">Pass0100!$G$82</definedName>
    <definedName name="solver_lhs18" localSheetId="2" hidden="1">'00xx'!$G$90</definedName>
    <definedName name="solver_lhs18" localSheetId="8" hidden="1">'00xxVert'!$G$90</definedName>
    <definedName name="solver_lhs18" localSheetId="7" hidden="1">'0101fail'!$G$90</definedName>
    <definedName name="solver_lhs18" localSheetId="4" hidden="1">'010x'!$G$90</definedName>
    <definedName name="solver_lhs18" localSheetId="5" hidden="1">'011xfail'!$G$90</definedName>
    <definedName name="solver_lhs18" localSheetId="3" hidden="1">'01xx'!$G$90</definedName>
    <definedName name="solver_lhs18" localSheetId="9" hidden="1">'01xxVert'!$G$90</definedName>
    <definedName name="solver_lhs18" localSheetId="10" hidden="1">'01xxVert00xx'!$G$90</definedName>
    <definedName name="solver_lhs18" localSheetId="11" hidden="1">'01xxVert01xxfail'!$G$90</definedName>
    <definedName name="solver_lhs18" localSheetId="1" hidden="1">Original!$G$90</definedName>
    <definedName name="solver_lhs18" localSheetId="6" hidden="1">Pass0100!$G$90</definedName>
    <definedName name="solver_lhs19" localSheetId="2" hidden="1">'00xx'!$G$98</definedName>
    <definedName name="solver_lhs19" localSheetId="8" hidden="1">'00xxVert'!$G$98</definedName>
    <definedName name="solver_lhs19" localSheetId="7" hidden="1">'0101fail'!$G$98</definedName>
    <definedName name="solver_lhs19" localSheetId="4" hidden="1">'010x'!$G$98</definedName>
    <definedName name="solver_lhs19" localSheetId="5" hidden="1">'011xfail'!$G$98</definedName>
    <definedName name="solver_lhs19" localSheetId="3" hidden="1">'01xx'!$G$98</definedName>
    <definedName name="solver_lhs19" localSheetId="9" hidden="1">'01xxVert'!$G$98</definedName>
    <definedName name="solver_lhs19" localSheetId="10" hidden="1">'01xxVert00xx'!$G$98</definedName>
    <definedName name="solver_lhs19" localSheetId="11" hidden="1">'01xxVert01xxfail'!$G$98</definedName>
    <definedName name="solver_lhs19" localSheetId="1" hidden="1">Original!$G$98</definedName>
    <definedName name="solver_lhs19" localSheetId="6" hidden="1">Pass0100!$G$98</definedName>
    <definedName name="solver_lhs2" localSheetId="2" hidden="1">'00xx'!$C$158:$C$161</definedName>
    <definedName name="solver_lhs2" localSheetId="8" hidden="1">'00xxVert'!$C$158:$C$161</definedName>
    <definedName name="solver_lhs2" localSheetId="7" hidden="1">'0101fail'!$C$158:$C$161</definedName>
    <definedName name="solver_lhs2" localSheetId="4" hidden="1">'010x'!$C$158:$C$161</definedName>
    <definedName name="solver_lhs2" localSheetId="5" hidden="1">'011xfail'!$C$158:$C$161</definedName>
    <definedName name="solver_lhs2" localSheetId="3" hidden="1">'01xx'!$C$158:$C$161</definedName>
    <definedName name="solver_lhs2" localSheetId="9" hidden="1">'01xxVert'!$C$158:$C$161</definedName>
    <definedName name="solver_lhs2" localSheetId="10" hidden="1">'01xxVert00xx'!$C$158:$C$161</definedName>
    <definedName name="solver_lhs2" localSheetId="11" hidden="1">'01xxVert01xxfail'!$C$158:$C$161</definedName>
    <definedName name="solver_lhs2" localSheetId="1" hidden="1">Original!$C$158:$C$161</definedName>
    <definedName name="solver_lhs2" localSheetId="6" hidden="1">Pass0100!$C$158:$C$161</definedName>
    <definedName name="solver_lhs3" localSheetId="2" hidden="1">'00xx'!$C$16:$F$19</definedName>
    <definedName name="solver_lhs3" localSheetId="8" hidden="1">'00xxVert'!$C$16:$F$19</definedName>
    <definedName name="solver_lhs3" localSheetId="7" hidden="1">'0101fail'!$C$16:$F$19</definedName>
    <definedName name="solver_lhs3" localSheetId="4" hidden="1">'010x'!$C$16:$F$19</definedName>
    <definedName name="solver_lhs3" localSheetId="5" hidden="1">'011xfail'!$C$16:$F$19</definedName>
    <definedName name="solver_lhs3" localSheetId="3" hidden="1">'01xx'!$C$16:$F$19</definedName>
    <definedName name="solver_lhs3" localSheetId="9" hidden="1">'01xxVert'!$C$16:$F$19</definedName>
    <definedName name="solver_lhs3" localSheetId="10" hidden="1">'01xxVert00xx'!$C$16:$F$19</definedName>
    <definedName name="solver_lhs3" localSheetId="11" hidden="1">'01xxVert01xxfail'!$C$16:$F$19</definedName>
    <definedName name="solver_lhs3" localSheetId="1" hidden="1">Original!$C$16:$F$19</definedName>
    <definedName name="solver_lhs3" localSheetId="6" hidden="1">Pass0100!$C$16:$F$19</definedName>
    <definedName name="solver_lhs4" localSheetId="2" hidden="1">'00xx'!$C$16:$F$19</definedName>
    <definedName name="solver_lhs4" localSheetId="8" hidden="1">'00xxVert'!$C$16:$F$19</definedName>
    <definedName name="solver_lhs4" localSheetId="7" hidden="1">'0101fail'!$C$16:$F$19</definedName>
    <definedName name="solver_lhs4" localSheetId="4" hidden="1">'010x'!$C$16:$F$19</definedName>
    <definedName name="solver_lhs4" localSheetId="5" hidden="1">'011xfail'!$C$16:$F$19</definedName>
    <definedName name="solver_lhs4" localSheetId="3" hidden="1">'01xx'!$C$16:$F$19</definedName>
    <definedName name="solver_lhs4" localSheetId="9" hidden="1">'01xxVert'!$C$16:$F$19</definedName>
    <definedName name="solver_lhs4" localSheetId="10" hidden="1">'01xxVert00xx'!$C$16:$F$19</definedName>
    <definedName name="solver_lhs4" localSheetId="11" hidden="1">'01xxVert01xxfail'!$C$16:$F$19</definedName>
    <definedName name="solver_lhs4" localSheetId="1" hidden="1">Original!$C$16:$F$19</definedName>
    <definedName name="solver_lhs4" localSheetId="6" hidden="1">Pass0100!$C$16:$F$19</definedName>
    <definedName name="solver_lhs5" localSheetId="2" hidden="1">'00xx'!$G$106</definedName>
    <definedName name="solver_lhs5" localSheetId="8" hidden="1">'00xxVert'!$G$106</definedName>
    <definedName name="solver_lhs5" localSheetId="7" hidden="1">'0101fail'!$G$106</definedName>
    <definedName name="solver_lhs5" localSheetId="4" hidden="1">'010x'!$G$106</definedName>
    <definedName name="solver_lhs5" localSheetId="5" hidden="1">'011xfail'!$G$106</definedName>
    <definedName name="solver_lhs5" localSheetId="3" hidden="1">'01xx'!$G$106</definedName>
    <definedName name="solver_lhs5" localSheetId="9" hidden="1">'01xxVert'!$G$106</definedName>
    <definedName name="solver_lhs5" localSheetId="10" hidden="1">'01xxVert00xx'!$G$106</definedName>
    <definedName name="solver_lhs5" localSheetId="11" hidden="1">'01xxVert01xxfail'!$G$106</definedName>
    <definedName name="solver_lhs5" localSheetId="1" hidden="1">Original!$G$106</definedName>
    <definedName name="solver_lhs5" localSheetId="6" hidden="1">Pass0100!$G$106</definedName>
    <definedName name="solver_lhs6" localSheetId="2" hidden="1">'00xx'!$G$114</definedName>
    <definedName name="solver_lhs6" localSheetId="8" hidden="1">'00xxVert'!$G$114</definedName>
    <definedName name="solver_lhs6" localSheetId="7" hidden="1">'0101fail'!$G$114</definedName>
    <definedName name="solver_lhs6" localSheetId="4" hidden="1">'010x'!$G$114</definedName>
    <definedName name="solver_lhs6" localSheetId="5" hidden="1">'011xfail'!$G$114</definedName>
    <definedName name="solver_lhs6" localSheetId="3" hidden="1">'01xx'!$G$114</definedName>
    <definedName name="solver_lhs6" localSheetId="9" hidden="1">'01xxVert'!$G$114</definedName>
    <definedName name="solver_lhs6" localSheetId="10" hidden="1">'01xxVert00xx'!$G$114</definedName>
    <definedName name="solver_lhs6" localSheetId="11" hidden="1">'01xxVert01xxfail'!$G$114</definedName>
    <definedName name="solver_lhs6" localSheetId="1" hidden="1">Original!$G$114</definedName>
    <definedName name="solver_lhs6" localSheetId="6" hidden="1">Pass0100!$G$114</definedName>
    <definedName name="solver_lhs7" localSheetId="2" hidden="1">'00xx'!$G$122</definedName>
    <definedName name="solver_lhs7" localSheetId="8" hidden="1">'00xxVert'!$G$122</definedName>
    <definedName name="solver_lhs7" localSheetId="7" hidden="1">'0101fail'!$G$122</definedName>
    <definedName name="solver_lhs7" localSheetId="4" hidden="1">'010x'!$G$122</definedName>
    <definedName name="solver_lhs7" localSheetId="5" hidden="1">'011xfail'!$G$122</definedName>
    <definedName name="solver_lhs7" localSheetId="3" hidden="1">'01xx'!$G$122</definedName>
    <definedName name="solver_lhs7" localSheetId="9" hidden="1">'01xxVert'!$G$122</definedName>
    <definedName name="solver_lhs7" localSheetId="10" hidden="1">'01xxVert00xx'!$G$122</definedName>
    <definedName name="solver_lhs7" localSheetId="11" hidden="1">'01xxVert01xxfail'!$G$122</definedName>
    <definedName name="solver_lhs7" localSheetId="1" hidden="1">Original!$G$122</definedName>
    <definedName name="solver_lhs7" localSheetId="6" hidden="1">Pass0100!$G$122</definedName>
    <definedName name="solver_lhs8" localSheetId="2" hidden="1">'00xx'!$G$130</definedName>
    <definedName name="solver_lhs8" localSheetId="8" hidden="1">'00xxVert'!$G$130</definedName>
    <definedName name="solver_lhs8" localSheetId="7" hidden="1">'0101fail'!$G$130</definedName>
    <definedName name="solver_lhs8" localSheetId="4" hidden="1">'010x'!$G$130</definedName>
    <definedName name="solver_lhs8" localSheetId="5" hidden="1">'011xfail'!$G$130</definedName>
    <definedName name="solver_lhs8" localSheetId="3" hidden="1">'01xx'!$G$130</definedName>
    <definedName name="solver_lhs8" localSheetId="9" hidden="1">'01xxVert'!$G$130</definedName>
    <definedName name="solver_lhs8" localSheetId="10" hidden="1">'01xxVert00xx'!$G$130</definedName>
    <definedName name="solver_lhs8" localSheetId="11" hidden="1">'01xxVert01xxfail'!$G$130</definedName>
    <definedName name="solver_lhs8" localSheetId="1" hidden="1">Original!$G$130</definedName>
    <definedName name="solver_lhs8" localSheetId="6" hidden="1">Pass0100!$G$130</definedName>
    <definedName name="solver_lhs9" localSheetId="2" hidden="1">'00xx'!$G$138</definedName>
    <definedName name="solver_lhs9" localSheetId="8" hidden="1">'00xxVert'!$G$138</definedName>
    <definedName name="solver_lhs9" localSheetId="7" hidden="1">'0101fail'!$G$138</definedName>
    <definedName name="solver_lhs9" localSheetId="4" hidden="1">'010x'!$G$138</definedName>
    <definedName name="solver_lhs9" localSheetId="5" hidden="1">'011xfail'!$G$138</definedName>
    <definedName name="solver_lhs9" localSheetId="3" hidden="1">'01xx'!$G$138</definedName>
    <definedName name="solver_lhs9" localSheetId="9" hidden="1">'01xxVert'!$G$138</definedName>
    <definedName name="solver_lhs9" localSheetId="10" hidden="1">'01xxVert00xx'!$G$138</definedName>
    <definedName name="solver_lhs9" localSheetId="11" hidden="1">'01xxVert01xxfail'!$G$138</definedName>
    <definedName name="solver_lhs9" localSheetId="1" hidden="1">Original!$G$138</definedName>
    <definedName name="solver_lhs9" localSheetId="6" hidden="1">Pass0100!$G$138</definedName>
    <definedName name="solver_mip" localSheetId="2" hidden="1">2147483647</definedName>
    <definedName name="solver_mip" localSheetId="8" hidden="1">2147483647</definedName>
    <definedName name="solver_mip" localSheetId="7" hidden="1">2147483647</definedName>
    <definedName name="solver_mip" localSheetId="4" hidden="1">2147483647</definedName>
    <definedName name="solver_mip" localSheetId="5" hidden="1">2147483647</definedName>
    <definedName name="solver_mip" localSheetId="3" hidden="1">2147483647</definedName>
    <definedName name="solver_mip" localSheetId="9" hidden="1">2147483647</definedName>
    <definedName name="solver_mip" localSheetId="10" hidden="1">2147483647</definedName>
    <definedName name="solver_mip" localSheetId="11" hidden="1">2147483647</definedName>
    <definedName name="solver_mip" localSheetId="1" hidden="1">2147483647</definedName>
    <definedName name="solver_mip" localSheetId="6" hidden="1">2147483647</definedName>
    <definedName name="solver_mni" localSheetId="2" hidden="1">30</definedName>
    <definedName name="solver_mni" localSheetId="8" hidden="1">30</definedName>
    <definedName name="solver_mni" localSheetId="7" hidden="1">30</definedName>
    <definedName name="solver_mni" localSheetId="4" hidden="1">30</definedName>
    <definedName name="solver_mni" localSheetId="5" hidden="1">30</definedName>
    <definedName name="solver_mni" localSheetId="3" hidden="1">30</definedName>
    <definedName name="solver_mni" localSheetId="9" hidden="1">30</definedName>
    <definedName name="solver_mni" localSheetId="10" hidden="1">30</definedName>
    <definedName name="solver_mni" localSheetId="11" hidden="1">30</definedName>
    <definedName name="solver_mni" localSheetId="1" hidden="1">30</definedName>
    <definedName name="solver_mni" localSheetId="6" hidden="1">30</definedName>
    <definedName name="solver_mrt" localSheetId="2" hidden="1">0.075</definedName>
    <definedName name="solver_mrt" localSheetId="8" hidden="1">0.075</definedName>
    <definedName name="solver_mrt" localSheetId="7" hidden="1">0.075</definedName>
    <definedName name="solver_mrt" localSheetId="4" hidden="1">0.075</definedName>
    <definedName name="solver_mrt" localSheetId="5" hidden="1">0.075</definedName>
    <definedName name="solver_mrt" localSheetId="3" hidden="1">0.075</definedName>
    <definedName name="solver_mrt" localSheetId="9" hidden="1">0.075</definedName>
    <definedName name="solver_mrt" localSheetId="10" hidden="1">0.075</definedName>
    <definedName name="solver_mrt" localSheetId="11" hidden="1">0.075</definedName>
    <definedName name="solver_mrt" localSheetId="1" hidden="1">0.075</definedName>
    <definedName name="solver_mrt" localSheetId="6" hidden="1">0.075</definedName>
    <definedName name="solver_msl" localSheetId="2" hidden="1">2</definedName>
    <definedName name="solver_msl" localSheetId="8" hidden="1">2</definedName>
    <definedName name="solver_msl" localSheetId="7" hidden="1">2</definedName>
    <definedName name="solver_msl" localSheetId="4" hidden="1">2</definedName>
    <definedName name="solver_msl" localSheetId="5" hidden="1">2</definedName>
    <definedName name="solver_msl" localSheetId="3" hidden="1">2</definedName>
    <definedName name="solver_msl" localSheetId="9" hidden="1">2</definedName>
    <definedName name="solver_msl" localSheetId="10" hidden="1">2</definedName>
    <definedName name="solver_msl" localSheetId="11" hidden="1">2</definedName>
    <definedName name="solver_msl" localSheetId="1" hidden="1">2</definedName>
    <definedName name="solver_msl" localSheetId="6" hidden="1">2</definedName>
    <definedName name="solver_neg" localSheetId="2" hidden="1">1</definedName>
    <definedName name="solver_neg" localSheetId="8" hidden="1">1</definedName>
    <definedName name="solver_neg" localSheetId="7" hidden="1">1</definedName>
    <definedName name="solver_neg" localSheetId="4" hidden="1">1</definedName>
    <definedName name="solver_neg" localSheetId="5" hidden="1">1</definedName>
    <definedName name="solver_neg" localSheetId="3" hidden="1">1</definedName>
    <definedName name="solver_neg" localSheetId="9" hidden="1">1</definedName>
    <definedName name="solver_neg" localSheetId="10" hidden="1">1</definedName>
    <definedName name="solver_neg" localSheetId="11" hidden="1">1</definedName>
    <definedName name="solver_neg" localSheetId="1" hidden="1">1</definedName>
    <definedName name="solver_neg" localSheetId="6" hidden="1">1</definedName>
    <definedName name="solver_nod" localSheetId="2" hidden="1">2147483647</definedName>
    <definedName name="solver_nod" localSheetId="8" hidden="1">2147483647</definedName>
    <definedName name="solver_nod" localSheetId="7" hidden="1">2147483647</definedName>
    <definedName name="solver_nod" localSheetId="4" hidden="1">2147483647</definedName>
    <definedName name="solver_nod" localSheetId="5" hidden="1">2147483647</definedName>
    <definedName name="solver_nod" localSheetId="3" hidden="1">2147483647</definedName>
    <definedName name="solver_nod" localSheetId="9" hidden="1">2147483647</definedName>
    <definedName name="solver_nod" localSheetId="10" hidden="1">2147483647</definedName>
    <definedName name="solver_nod" localSheetId="11" hidden="1">2147483647</definedName>
    <definedName name="solver_nod" localSheetId="1" hidden="1">2147483647</definedName>
    <definedName name="solver_nod" localSheetId="6" hidden="1">2147483647</definedName>
    <definedName name="solver_num" localSheetId="2" hidden="1">19</definedName>
    <definedName name="solver_num" localSheetId="8" hidden="1">19</definedName>
    <definedName name="solver_num" localSheetId="7" hidden="1">19</definedName>
    <definedName name="solver_num" localSheetId="4" hidden="1">19</definedName>
    <definedName name="solver_num" localSheetId="5" hidden="1">19</definedName>
    <definedName name="solver_num" localSheetId="3" hidden="1">19</definedName>
    <definedName name="solver_num" localSheetId="9" hidden="1">19</definedName>
    <definedName name="solver_num" localSheetId="10" hidden="1">19</definedName>
    <definedName name="solver_num" localSheetId="11" hidden="1">19</definedName>
    <definedName name="solver_num" localSheetId="1" hidden="1">19</definedName>
    <definedName name="solver_num" localSheetId="6" hidden="1">19</definedName>
    <definedName name="solver_nwt" localSheetId="2" hidden="1">1</definedName>
    <definedName name="solver_nwt" localSheetId="8" hidden="1">1</definedName>
    <definedName name="solver_nwt" localSheetId="7" hidden="1">1</definedName>
    <definedName name="solver_nwt" localSheetId="4" hidden="1">1</definedName>
    <definedName name="solver_nwt" localSheetId="5" hidden="1">1</definedName>
    <definedName name="solver_nwt" localSheetId="3" hidden="1">1</definedName>
    <definedName name="solver_nwt" localSheetId="9" hidden="1">1</definedName>
    <definedName name="solver_nwt" localSheetId="10" hidden="1">1</definedName>
    <definedName name="solver_nwt" localSheetId="11" hidden="1">1</definedName>
    <definedName name="solver_nwt" localSheetId="1" hidden="1">1</definedName>
    <definedName name="solver_nwt" localSheetId="6" hidden="1">1</definedName>
    <definedName name="solver_opt" localSheetId="2" hidden="1">'00xx'!$B$1</definedName>
    <definedName name="solver_opt" localSheetId="8" hidden="1">'00xxVert'!$B$1</definedName>
    <definedName name="solver_opt" localSheetId="7" hidden="1">'0101fail'!$B$1</definedName>
    <definedName name="solver_opt" localSheetId="4" hidden="1">'010x'!$B$1</definedName>
    <definedName name="solver_opt" localSheetId="5" hidden="1">'011xfail'!$B$1</definedName>
    <definedName name="solver_opt" localSheetId="3" hidden="1">'01xx'!$B$1</definedName>
    <definedName name="solver_opt" localSheetId="9" hidden="1">'01xxVert'!$B$1</definedName>
    <definedName name="solver_opt" localSheetId="10" hidden="1">'01xxVert00xx'!$B$1</definedName>
    <definedName name="solver_opt" localSheetId="11" hidden="1">'01xxVert01xxfail'!$B$1</definedName>
    <definedName name="solver_opt" localSheetId="1" hidden="1">Original!$B$1</definedName>
    <definedName name="solver_opt" localSheetId="6" hidden="1">Pass0100!$B$1</definedName>
    <definedName name="solver_pre" localSheetId="2" hidden="1">0.000001</definedName>
    <definedName name="solver_pre" localSheetId="8" hidden="1">0.000001</definedName>
    <definedName name="solver_pre" localSheetId="7" hidden="1">0.000001</definedName>
    <definedName name="solver_pre" localSheetId="4" hidden="1">0.000001</definedName>
    <definedName name="solver_pre" localSheetId="5" hidden="1">0.000001</definedName>
    <definedName name="solver_pre" localSheetId="3" hidden="1">0.000001</definedName>
    <definedName name="solver_pre" localSheetId="9" hidden="1">0.000001</definedName>
    <definedName name="solver_pre" localSheetId="10" hidden="1">0.000001</definedName>
    <definedName name="solver_pre" localSheetId="11" hidden="1">0.000001</definedName>
    <definedName name="solver_pre" localSheetId="1" hidden="1">0.000001</definedName>
    <definedName name="solver_pre" localSheetId="6" hidden="1">0.000001</definedName>
    <definedName name="solver_rbv" localSheetId="2" hidden="1">2</definedName>
    <definedName name="solver_rbv" localSheetId="8" hidden="1">2</definedName>
    <definedName name="solver_rbv" localSheetId="7" hidden="1">2</definedName>
    <definedName name="solver_rbv" localSheetId="4" hidden="1">2</definedName>
    <definedName name="solver_rbv" localSheetId="5" hidden="1">2</definedName>
    <definedName name="solver_rbv" localSheetId="3" hidden="1">2</definedName>
    <definedName name="solver_rbv" localSheetId="9" hidden="1">2</definedName>
    <definedName name="solver_rbv" localSheetId="10" hidden="1">2</definedName>
    <definedName name="solver_rbv" localSheetId="11" hidden="1">2</definedName>
    <definedName name="solver_rbv" localSheetId="1" hidden="1">2</definedName>
    <definedName name="solver_rbv" localSheetId="6" hidden="1">2</definedName>
    <definedName name="solver_rel1" localSheetId="2" hidden="1">2</definedName>
    <definedName name="solver_rel1" localSheetId="8" hidden="1">2</definedName>
    <definedName name="solver_rel1" localSheetId="7" hidden="1">2</definedName>
    <definedName name="solver_rel1" localSheetId="4" hidden="1">2</definedName>
    <definedName name="solver_rel1" localSheetId="5" hidden="1">2</definedName>
    <definedName name="solver_rel1" localSheetId="3" hidden="1">2</definedName>
    <definedName name="solver_rel1" localSheetId="9" hidden="1">2</definedName>
    <definedName name="solver_rel1" localSheetId="10" hidden="1">2</definedName>
    <definedName name="solver_rel1" localSheetId="11" hidden="1">2</definedName>
    <definedName name="solver_rel1" localSheetId="1" hidden="1">2</definedName>
    <definedName name="solver_rel1" localSheetId="6" hidden="1">2</definedName>
    <definedName name="solver_rel10" localSheetId="2" hidden="1">1</definedName>
    <definedName name="solver_rel10" localSheetId="8" hidden="1">1</definedName>
    <definedName name="solver_rel10" localSheetId="7" hidden="1">1</definedName>
    <definedName name="solver_rel10" localSheetId="4" hidden="1">1</definedName>
    <definedName name="solver_rel10" localSheetId="5" hidden="1">1</definedName>
    <definedName name="solver_rel10" localSheetId="3" hidden="1">1</definedName>
    <definedName name="solver_rel10" localSheetId="9" hidden="1">1</definedName>
    <definedName name="solver_rel10" localSheetId="10" hidden="1">1</definedName>
    <definedName name="solver_rel10" localSheetId="11" hidden="1">1</definedName>
    <definedName name="solver_rel10" localSheetId="1" hidden="1">1</definedName>
    <definedName name="solver_rel10" localSheetId="6" hidden="1">1</definedName>
    <definedName name="solver_rel11" localSheetId="2" hidden="1">2</definedName>
    <definedName name="solver_rel11" localSheetId="8" hidden="1">2</definedName>
    <definedName name="solver_rel11" localSheetId="7" hidden="1">2</definedName>
    <definedName name="solver_rel11" localSheetId="4" hidden="1">2</definedName>
    <definedName name="solver_rel11" localSheetId="5" hidden="1">2</definedName>
    <definedName name="solver_rel11" localSheetId="3" hidden="1">2</definedName>
    <definedName name="solver_rel11" localSheetId="9" hidden="1">2</definedName>
    <definedName name="solver_rel11" localSheetId="10" hidden="1">2</definedName>
    <definedName name="solver_rel11" localSheetId="11" hidden="1">2</definedName>
    <definedName name="solver_rel11" localSheetId="1" hidden="1">2</definedName>
    <definedName name="solver_rel11" localSheetId="6" hidden="1">2</definedName>
    <definedName name="solver_rel12" localSheetId="2" hidden="1">1</definedName>
    <definedName name="solver_rel12" localSheetId="8" hidden="1">1</definedName>
    <definedName name="solver_rel12" localSheetId="7" hidden="1">1</definedName>
    <definedName name="solver_rel12" localSheetId="4" hidden="1">1</definedName>
    <definedName name="solver_rel12" localSheetId="5" hidden="1">1</definedName>
    <definedName name="solver_rel12" localSheetId="3" hidden="1">1</definedName>
    <definedName name="solver_rel12" localSheetId="9" hidden="1">1</definedName>
    <definedName name="solver_rel12" localSheetId="10" hidden="1">1</definedName>
    <definedName name="solver_rel12" localSheetId="11" hidden="1">1</definedName>
    <definedName name="solver_rel12" localSheetId="1" hidden="1">1</definedName>
    <definedName name="solver_rel12" localSheetId="6" hidden="1">1</definedName>
    <definedName name="solver_rel13" localSheetId="2" hidden="1">1</definedName>
    <definedName name="solver_rel13" localSheetId="8" hidden="1">1</definedName>
    <definedName name="solver_rel13" localSheetId="7" hidden="1">1</definedName>
    <definedName name="solver_rel13" localSheetId="4" hidden="1">1</definedName>
    <definedName name="solver_rel13" localSheetId="5" hidden="1">1</definedName>
    <definedName name="solver_rel13" localSheetId="3" hidden="1">1</definedName>
    <definedName name="solver_rel13" localSheetId="9" hidden="1">1</definedName>
    <definedName name="solver_rel13" localSheetId="10" hidden="1">1</definedName>
    <definedName name="solver_rel13" localSheetId="11" hidden="1">1</definedName>
    <definedName name="solver_rel13" localSheetId="1" hidden="1">1</definedName>
    <definedName name="solver_rel13" localSheetId="6" hidden="1">1</definedName>
    <definedName name="solver_rel14" localSheetId="2" hidden="1">1</definedName>
    <definedName name="solver_rel14" localSheetId="8" hidden="1">1</definedName>
    <definedName name="solver_rel14" localSheetId="7" hidden="1">1</definedName>
    <definedName name="solver_rel14" localSheetId="4" hidden="1">1</definedName>
    <definedName name="solver_rel14" localSheetId="5" hidden="1">1</definedName>
    <definedName name="solver_rel14" localSheetId="3" hidden="1">1</definedName>
    <definedName name="solver_rel14" localSheetId="9" hidden="1">1</definedName>
    <definedName name="solver_rel14" localSheetId="10" hidden="1">1</definedName>
    <definedName name="solver_rel14" localSheetId="11" hidden="1">1</definedName>
    <definedName name="solver_rel14" localSheetId="1" hidden="1">1</definedName>
    <definedName name="solver_rel14" localSheetId="6" hidden="1">1</definedName>
    <definedName name="solver_rel15" localSheetId="2" hidden="1">1</definedName>
    <definedName name="solver_rel15" localSheetId="8" hidden="1">1</definedName>
    <definedName name="solver_rel15" localSheetId="7" hidden="1">1</definedName>
    <definedName name="solver_rel15" localSheetId="4" hidden="1">1</definedName>
    <definedName name="solver_rel15" localSheetId="5" hidden="1">1</definedName>
    <definedName name="solver_rel15" localSheetId="3" hidden="1">1</definedName>
    <definedName name="solver_rel15" localSheetId="9" hidden="1">1</definedName>
    <definedName name="solver_rel15" localSheetId="10" hidden="1">1</definedName>
    <definedName name="solver_rel15" localSheetId="11" hidden="1">1</definedName>
    <definedName name="solver_rel15" localSheetId="1" hidden="1">1</definedName>
    <definedName name="solver_rel15" localSheetId="6" hidden="1">1</definedName>
    <definedName name="solver_rel16" localSheetId="2" hidden="1">1</definedName>
    <definedName name="solver_rel16" localSheetId="8" hidden="1">1</definedName>
    <definedName name="solver_rel16" localSheetId="7" hidden="1">1</definedName>
    <definedName name="solver_rel16" localSheetId="4" hidden="1">1</definedName>
    <definedName name="solver_rel16" localSheetId="5" hidden="1">1</definedName>
    <definedName name="solver_rel16" localSheetId="3" hidden="1">1</definedName>
    <definedName name="solver_rel16" localSheetId="9" hidden="1">1</definedName>
    <definedName name="solver_rel16" localSheetId="10" hidden="1">1</definedName>
    <definedName name="solver_rel16" localSheetId="11" hidden="1">1</definedName>
    <definedName name="solver_rel16" localSheetId="1" hidden="1">1</definedName>
    <definedName name="solver_rel16" localSheetId="6" hidden="1">1</definedName>
    <definedName name="solver_rel17" localSheetId="2" hidden="1">1</definedName>
    <definedName name="solver_rel17" localSheetId="8" hidden="1">1</definedName>
    <definedName name="solver_rel17" localSheetId="7" hidden="1">1</definedName>
    <definedName name="solver_rel17" localSheetId="4" hidden="1">1</definedName>
    <definedName name="solver_rel17" localSheetId="5" hidden="1">1</definedName>
    <definedName name="solver_rel17" localSheetId="3" hidden="1">1</definedName>
    <definedName name="solver_rel17" localSheetId="9" hidden="1">1</definedName>
    <definedName name="solver_rel17" localSheetId="10" hidden="1">1</definedName>
    <definedName name="solver_rel17" localSheetId="11" hidden="1">1</definedName>
    <definedName name="solver_rel17" localSheetId="1" hidden="1">1</definedName>
    <definedName name="solver_rel17" localSheetId="6" hidden="1">1</definedName>
    <definedName name="solver_rel18" localSheetId="2" hidden="1">1</definedName>
    <definedName name="solver_rel18" localSheetId="8" hidden="1">1</definedName>
    <definedName name="solver_rel18" localSheetId="7" hidden="1">1</definedName>
    <definedName name="solver_rel18" localSheetId="4" hidden="1">1</definedName>
    <definedName name="solver_rel18" localSheetId="5" hidden="1">1</definedName>
    <definedName name="solver_rel18" localSheetId="3" hidden="1">1</definedName>
    <definedName name="solver_rel18" localSheetId="9" hidden="1">1</definedName>
    <definedName name="solver_rel18" localSheetId="10" hidden="1">1</definedName>
    <definedName name="solver_rel18" localSheetId="11" hidden="1">1</definedName>
    <definedName name="solver_rel18" localSheetId="1" hidden="1">1</definedName>
    <definedName name="solver_rel18" localSheetId="6" hidden="1">1</definedName>
    <definedName name="solver_rel19" localSheetId="2" hidden="1">1</definedName>
    <definedName name="solver_rel19" localSheetId="8" hidden="1">1</definedName>
    <definedName name="solver_rel19" localSheetId="7" hidden="1">1</definedName>
    <definedName name="solver_rel19" localSheetId="4" hidden="1">1</definedName>
    <definedName name="solver_rel19" localSheetId="5" hidden="1">1</definedName>
    <definedName name="solver_rel19" localSheetId="3" hidden="1">1</definedName>
    <definedName name="solver_rel19" localSheetId="9" hidden="1">1</definedName>
    <definedName name="solver_rel19" localSheetId="10" hidden="1">1</definedName>
    <definedName name="solver_rel19" localSheetId="11" hidden="1">1</definedName>
    <definedName name="solver_rel19" localSheetId="1" hidden="1">1</definedName>
    <definedName name="solver_rel19" localSheetId="6" hidden="1">1</definedName>
    <definedName name="solver_rel2" localSheetId="2" hidden="1">2</definedName>
    <definedName name="solver_rel2" localSheetId="8" hidden="1">2</definedName>
    <definedName name="solver_rel2" localSheetId="7" hidden="1">2</definedName>
    <definedName name="solver_rel2" localSheetId="4" hidden="1">2</definedName>
    <definedName name="solver_rel2" localSheetId="5" hidden="1">2</definedName>
    <definedName name="solver_rel2" localSheetId="3" hidden="1">2</definedName>
    <definedName name="solver_rel2" localSheetId="9" hidden="1">2</definedName>
    <definedName name="solver_rel2" localSheetId="10" hidden="1">2</definedName>
    <definedName name="solver_rel2" localSheetId="11" hidden="1">2</definedName>
    <definedName name="solver_rel2" localSheetId="1" hidden="1">2</definedName>
    <definedName name="solver_rel2" localSheetId="6" hidden="1">2</definedName>
    <definedName name="solver_rel3" localSheetId="2" hidden="1">1</definedName>
    <definedName name="solver_rel3" localSheetId="8" hidden="1">1</definedName>
    <definedName name="solver_rel3" localSheetId="7" hidden="1">1</definedName>
    <definedName name="solver_rel3" localSheetId="4" hidden="1">1</definedName>
    <definedName name="solver_rel3" localSheetId="5" hidden="1">1</definedName>
    <definedName name="solver_rel3" localSheetId="3" hidden="1">1</definedName>
    <definedName name="solver_rel3" localSheetId="9" hidden="1">1</definedName>
    <definedName name="solver_rel3" localSheetId="10" hidden="1">1</definedName>
    <definedName name="solver_rel3" localSheetId="11" hidden="1">1</definedName>
    <definedName name="solver_rel3" localSheetId="1" hidden="1">1</definedName>
    <definedName name="solver_rel3" localSheetId="6" hidden="1">1</definedName>
    <definedName name="solver_rel4" localSheetId="2" hidden="1">3</definedName>
    <definedName name="solver_rel4" localSheetId="8" hidden="1">3</definedName>
    <definedName name="solver_rel4" localSheetId="7" hidden="1">3</definedName>
    <definedName name="solver_rel4" localSheetId="4" hidden="1">3</definedName>
    <definedName name="solver_rel4" localSheetId="5" hidden="1">3</definedName>
    <definedName name="solver_rel4" localSheetId="3" hidden="1">3</definedName>
    <definedName name="solver_rel4" localSheetId="9" hidden="1">3</definedName>
    <definedName name="solver_rel4" localSheetId="10" hidden="1">3</definedName>
    <definedName name="solver_rel4" localSheetId="11" hidden="1">3</definedName>
    <definedName name="solver_rel4" localSheetId="1" hidden="1">3</definedName>
    <definedName name="solver_rel4" localSheetId="6" hidden="1">3</definedName>
    <definedName name="solver_rel5" localSheetId="2" hidden="1">1</definedName>
    <definedName name="solver_rel5" localSheetId="8" hidden="1">1</definedName>
    <definedName name="solver_rel5" localSheetId="7" hidden="1">1</definedName>
    <definedName name="solver_rel5" localSheetId="4" hidden="1">1</definedName>
    <definedName name="solver_rel5" localSheetId="5" hidden="1">1</definedName>
    <definedName name="solver_rel5" localSheetId="3" hidden="1">1</definedName>
    <definedName name="solver_rel5" localSheetId="9" hidden="1">1</definedName>
    <definedName name="solver_rel5" localSheetId="10" hidden="1">1</definedName>
    <definedName name="solver_rel5" localSheetId="11" hidden="1">1</definedName>
    <definedName name="solver_rel5" localSheetId="1" hidden="1">1</definedName>
    <definedName name="solver_rel5" localSheetId="6" hidden="1">1</definedName>
    <definedName name="solver_rel6" localSheetId="2" hidden="1">1</definedName>
    <definedName name="solver_rel6" localSheetId="8" hidden="1">1</definedName>
    <definedName name="solver_rel6" localSheetId="7" hidden="1">1</definedName>
    <definedName name="solver_rel6" localSheetId="4" hidden="1">1</definedName>
    <definedName name="solver_rel6" localSheetId="5" hidden="1">1</definedName>
    <definedName name="solver_rel6" localSheetId="3" hidden="1">1</definedName>
    <definedName name="solver_rel6" localSheetId="9" hidden="1">1</definedName>
    <definedName name="solver_rel6" localSheetId="10" hidden="1">1</definedName>
    <definedName name="solver_rel6" localSheetId="11" hidden="1">1</definedName>
    <definedName name="solver_rel6" localSheetId="1" hidden="1">1</definedName>
    <definedName name="solver_rel6" localSheetId="6" hidden="1">1</definedName>
    <definedName name="solver_rel7" localSheetId="2" hidden="1">1</definedName>
    <definedName name="solver_rel7" localSheetId="8" hidden="1">1</definedName>
    <definedName name="solver_rel7" localSheetId="7" hidden="1">1</definedName>
    <definedName name="solver_rel7" localSheetId="4" hidden="1">1</definedName>
    <definedName name="solver_rel7" localSheetId="5" hidden="1">1</definedName>
    <definedName name="solver_rel7" localSheetId="3" hidden="1">1</definedName>
    <definedName name="solver_rel7" localSheetId="9" hidden="1">1</definedName>
    <definedName name="solver_rel7" localSheetId="10" hidden="1">1</definedName>
    <definedName name="solver_rel7" localSheetId="11" hidden="1">1</definedName>
    <definedName name="solver_rel7" localSheetId="1" hidden="1">1</definedName>
    <definedName name="solver_rel7" localSheetId="6" hidden="1">1</definedName>
    <definedName name="solver_rel8" localSheetId="2" hidden="1">1</definedName>
    <definedName name="solver_rel8" localSheetId="8" hidden="1">1</definedName>
    <definedName name="solver_rel8" localSheetId="7" hidden="1">1</definedName>
    <definedName name="solver_rel8" localSheetId="4" hidden="1">1</definedName>
    <definedName name="solver_rel8" localSheetId="5" hidden="1">1</definedName>
    <definedName name="solver_rel8" localSheetId="3" hidden="1">1</definedName>
    <definedName name="solver_rel8" localSheetId="9" hidden="1">1</definedName>
    <definedName name="solver_rel8" localSheetId="10" hidden="1">1</definedName>
    <definedName name="solver_rel8" localSheetId="11" hidden="1">1</definedName>
    <definedName name="solver_rel8" localSheetId="1" hidden="1">1</definedName>
    <definedName name="solver_rel8" localSheetId="6" hidden="1">1</definedName>
    <definedName name="solver_rel9" localSheetId="2" hidden="1">1</definedName>
    <definedName name="solver_rel9" localSheetId="8" hidden="1">1</definedName>
    <definedName name="solver_rel9" localSheetId="7" hidden="1">1</definedName>
    <definedName name="solver_rel9" localSheetId="4" hidden="1">1</definedName>
    <definedName name="solver_rel9" localSheetId="5" hidden="1">1</definedName>
    <definedName name="solver_rel9" localSheetId="3" hidden="1">1</definedName>
    <definedName name="solver_rel9" localSheetId="9" hidden="1">1</definedName>
    <definedName name="solver_rel9" localSheetId="10" hidden="1">1</definedName>
    <definedName name="solver_rel9" localSheetId="11" hidden="1">1</definedName>
    <definedName name="solver_rel9" localSheetId="1" hidden="1">1</definedName>
    <definedName name="solver_rel9" localSheetId="6" hidden="1">1</definedName>
    <definedName name="solver_rhs1" localSheetId="2" hidden="1">'00xx'!$C$155:$F$155</definedName>
    <definedName name="solver_rhs1" localSheetId="8" hidden="1">'00xxVert'!$C$155:$F$155</definedName>
    <definedName name="solver_rhs1" localSheetId="7" hidden="1">'0101fail'!$C$155:$F$155</definedName>
    <definedName name="solver_rhs1" localSheetId="4" hidden="1">'010x'!$C$155:$F$155</definedName>
    <definedName name="solver_rhs1" localSheetId="5" hidden="1">'011xfail'!$C$155:$F$155</definedName>
    <definedName name="solver_rhs1" localSheetId="3" hidden="1">'01xx'!$C$155:$F$155</definedName>
    <definedName name="solver_rhs1" localSheetId="9" hidden="1">'01xxVert'!$C$155:$F$155</definedName>
    <definedName name="solver_rhs1" localSheetId="10" hidden="1">'01xxVert00xx'!$C$155:$F$155</definedName>
    <definedName name="solver_rhs1" localSheetId="11" hidden="1">'01xxVert01xxfail'!$C$155:$F$155</definedName>
    <definedName name="solver_rhs1" localSheetId="1" hidden="1">Original!$C$155:$F$155</definedName>
    <definedName name="solver_rhs1" localSheetId="6" hidden="1">Pass0100!$C$155:$F$155</definedName>
    <definedName name="solver_rhs10" localSheetId="2" hidden="1">'00xx'!$I$146</definedName>
    <definedName name="solver_rhs10" localSheetId="8" hidden="1">'00xxVert'!$I$146</definedName>
    <definedName name="solver_rhs10" localSheetId="7" hidden="1">'0101fail'!$I$146</definedName>
    <definedName name="solver_rhs10" localSheetId="4" hidden="1">'010x'!$I$146</definedName>
    <definedName name="solver_rhs10" localSheetId="5" hidden="1">'011xfail'!$I$146</definedName>
    <definedName name="solver_rhs10" localSheetId="3" hidden="1">'01xx'!$I$146</definedName>
    <definedName name="solver_rhs10" localSheetId="9" hidden="1">'01xxVert'!$I$146</definedName>
    <definedName name="solver_rhs10" localSheetId="10" hidden="1">'01xxVert00xx'!$I$146</definedName>
    <definedName name="solver_rhs10" localSheetId="11" hidden="1">'01xxVert01xxfail'!$I$146</definedName>
    <definedName name="solver_rhs10" localSheetId="1" hidden="1">Original!$I$146</definedName>
    <definedName name="solver_rhs10" localSheetId="6" hidden="1">Pass0100!$I$146</definedName>
    <definedName name="solver_rhs11" localSheetId="2" hidden="1">'00xx'!$I$34</definedName>
    <definedName name="solver_rhs11" localSheetId="8" hidden="1">'00xxVert'!$I$34</definedName>
    <definedName name="solver_rhs11" localSheetId="7" hidden="1">'0101fail'!$I$34</definedName>
    <definedName name="solver_rhs11" localSheetId="4" hidden="1">'010x'!$I$34</definedName>
    <definedName name="solver_rhs11" localSheetId="5" hidden="1">'011xfail'!$I$34</definedName>
    <definedName name="solver_rhs11" localSheetId="3" hidden="1">'01xx'!$I$34</definedName>
    <definedName name="solver_rhs11" localSheetId="9" hidden="1">'01xxVert'!$I$34</definedName>
    <definedName name="solver_rhs11" localSheetId="10" hidden="1">'01xxVert00xx'!$I$34</definedName>
    <definedName name="solver_rhs11" localSheetId="11" hidden="1">'01xxVert01xxfail'!$I$34</definedName>
    <definedName name="solver_rhs11" localSheetId="1" hidden="1">Original!$I$34</definedName>
    <definedName name="solver_rhs11" localSheetId="6" hidden="1">Pass0100!$I$34</definedName>
    <definedName name="solver_rhs12" localSheetId="2" hidden="1">'00xx'!$I$42</definedName>
    <definedName name="solver_rhs12" localSheetId="8" hidden="1">'00xxVert'!$I$42</definedName>
    <definedName name="solver_rhs12" localSheetId="7" hidden="1">'0101fail'!$I$42</definedName>
    <definedName name="solver_rhs12" localSheetId="4" hidden="1">'010x'!$I$42</definedName>
    <definedName name="solver_rhs12" localSheetId="5" hidden="1">'011xfail'!$I$42</definedName>
    <definedName name="solver_rhs12" localSheetId="3" hidden="1">'01xx'!$I$42</definedName>
    <definedName name="solver_rhs12" localSheetId="9" hidden="1">'01xxVert'!$I$42</definedName>
    <definedName name="solver_rhs12" localSheetId="10" hidden="1">'01xxVert00xx'!$I$42</definedName>
    <definedName name="solver_rhs12" localSheetId="11" hidden="1">'01xxVert01xxfail'!$I$42</definedName>
    <definedName name="solver_rhs12" localSheetId="1" hidden="1">Original!$I$42</definedName>
    <definedName name="solver_rhs12" localSheetId="6" hidden="1">Pass0100!$I$42</definedName>
    <definedName name="solver_rhs13" localSheetId="2" hidden="1">'00xx'!$I$50</definedName>
    <definedName name="solver_rhs13" localSheetId="8" hidden="1">'00xxVert'!$I$50</definedName>
    <definedName name="solver_rhs13" localSheetId="7" hidden="1">'0101fail'!$I$50</definedName>
    <definedName name="solver_rhs13" localSheetId="4" hidden="1">'010x'!$I$50</definedName>
    <definedName name="solver_rhs13" localSheetId="5" hidden="1">'011xfail'!$I$50</definedName>
    <definedName name="solver_rhs13" localSheetId="3" hidden="1">'01xx'!$I$50</definedName>
    <definedName name="solver_rhs13" localSheetId="9" hidden="1">'01xxVert'!$I$50</definedName>
    <definedName name="solver_rhs13" localSheetId="10" hidden="1">'01xxVert00xx'!$I$50</definedName>
    <definedName name="solver_rhs13" localSheetId="11" hidden="1">'01xxVert01xxfail'!$I$50</definedName>
    <definedName name="solver_rhs13" localSheetId="1" hidden="1">Original!$I$50</definedName>
    <definedName name="solver_rhs13" localSheetId="6" hidden="1">Pass0100!$I$50</definedName>
    <definedName name="solver_rhs14" localSheetId="2" hidden="1">'00xx'!$I$58</definedName>
    <definedName name="solver_rhs14" localSheetId="8" hidden="1">'00xxVert'!$I$58</definedName>
    <definedName name="solver_rhs14" localSheetId="7" hidden="1">'0101fail'!$I$58</definedName>
    <definedName name="solver_rhs14" localSheetId="4" hidden="1">'010x'!$I$58</definedName>
    <definedName name="solver_rhs14" localSheetId="5" hidden="1">'011xfail'!$I$58</definedName>
    <definedName name="solver_rhs14" localSheetId="3" hidden="1">'01xx'!$I$58</definedName>
    <definedName name="solver_rhs14" localSheetId="9" hidden="1">'01xxVert'!$I$58</definedName>
    <definedName name="solver_rhs14" localSheetId="10" hidden="1">'01xxVert00xx'!$I$58</definedName>
    <definedName name="solver_rhs14" localSheetId="11" hidden="1">'01xxVert01xxfail'!$I$58</definedName>
    <definedName name="solver_rhs14" localSheetId="1" hidden="1">Original!$I$58</definedName>
    <definedName name="solver_rhs14" localSheetId="6" hidden="1">Pass0100!$I$58</definedName>
    <definedName name="solver_rhs15" localSheetId="2" hidden="1">'00xx'!$I$66</definedName>
    <definedName name="solver_rhs15" localSheetId="8" hidden="1">'00xxVert'!$I$66</definedName>
    <definedName name="solver_rhs15" localSheetId="7" hidden="1">'0101fail'!$I$66</definedName>
    <definedName name="solver_rhs15" localSheetId="4" hidden="1">'010x'!$I$66</definedName>
    <definedName name="solver_rhs15" localSheetId="5" hidden="1">'011xfail'!$I$66</definedName>
    <definedName name="solver_rhs15" localSheetId="3" hidden="1">'01xx'!$I$66</definedName>
    <definedName name="solver_rhs15" localSheetId="9" hidden="1">'01xxVert'!$I$66</definedName>
    <definedName name="solver_rhs15" localSheetId="10" hidden="1">'01xxVert00xx'!$I$66</definedName>
    <definedName name="solver_rhs15" localSheetId="11" hidden="1">'01xxVert01xxfail'!$I$66</definedName>
    <definedName name="solver_rhs15" localSheetId="1" hidden="1">Original!$I$66</definedName>
    <definedName name="solver_rhs15" localSheetId="6" hidden="1">Pass0100!$I$66</definedName>
    <definedName name="solver_rhs16" localSheetId="2" hidden="1">'00xx'!$I$74</definedName>
    <definedName name="solver_rhs16" localSheetId="8" hidden="1">'00xxVert'!$I$74</definedName>
    <definedName name="solver_rhs16" localSheetId="7" hidden="1">'0101fail'!$I$74</definedName>
    <definedName name="solver_rhs16" localSheetId="4" hidden="1">'010x'!$I$74</definedName>
    <definedName name="solver_rhs16" localSheetId="5" hidden="1">'011xfail'!$I$74</definedName>
    <definedName name="solver_rhs16" localSheetId="3" hidden="1">'01xx'!$I$74</definedName>
    <definedName name="solver_rhs16" localSheetId="9" hidden="1">'01xxVert'!$I$74</definedName>
    <definedName name="solver_rhs16" localSheetId="10" hidden="1">'01xxVert00xx'!$I$74</definedName>
    <definedName name="solver_rhs16" localSheetId="11" hidden="1">'01xxVert01xxfail'!$I$74</definedName>
    <definedName name="solver_rhs16" localSheetId="1" hidden="1">Original!$I$74</definedName>
    <definedName name="solver_rhs16" localSheetId="6" hidden="1">Pass0100!$I$74</definedName>
    <definedName name="solver_rhs17" localSheetId="2" hidden="1">'00xx'!$I$82</definedName>
    <definedName name="solver_rhs17" localSheetId="8" hidden="1">'00xxVert'!$I$82</definedName>
    <definedName name="solver_rhs17" localSheetId="7" hidden="1">'0101fail'!$I$82</definedName>
    <definedName name="solver_rhs17" localSheetId="4" hidden="1">'010x'!$I$82</definedName>
    <definedName name="solver_rhs17" localSheetId="5" hidden="1">'011xfail'!$I$82</definedName>
    <definedName name="solver_rhs17" localSheetId="3" hidden="1">'01xx'!$I$82</definedName>
    <definedName name="solver_rhs17" localSheetId="9" hidden="1">'01xxVert'!$I$82</definedName>
    <definedName name="solver_rhs17" localSheetId="10" hidden="1">'01xxVert00xx'!$I$82</definedName>
    <definedName name="solver_rhs17" localSheetId="11" hidden="1">'01xxVert01xxfail'!$I$82</definedName>
    <definedName name="solver_rhs17" localSheetId="1" hidden="1">Original!$I$82</definedName>
    <definedName name="solver_rhs17" localSheetId="6" hidden="1">Pass0100!$I$82</definedName>
    <definedName name="solver_rhs18" localSheetId="2" hidden="1">'00xx'!$I$90</definedName>
    <definedName name="solver_rhs18" localSheetId="8" hidden="1">'00xxVert'!$I$90</definedName>
    <definedName name="solver_rhs18" localSheetId="7" hidden="1">'0101fail'!$I$90</definedName>
    <definedName name="solver_rhs18" localSheetId="4" hidden="1">'010x'!$I$90</definedName>
    <definedName name="solver_rhs18" localSheetId="5" hidden="1">'011xfail'!$I$90</definedName>
    <definedName name="solver_rhs18" localSheetId="3" hidden="1">'01xx'!$I$90</definedName>
    <definedName name="solver_rhs18" localSheetId="9" hidden="1">'01xxVert'!$I$90</definedName>
    <definedName name="solver_rhs18" localSheetId="10" hidden="1">'01xxVert00xx'!$I$90</definedName>
    <definedName name="solver_rhs18" localSheetId="11" hidden="1">'01xxVert01xxfail'!$I$90</definedName>
    <definedName name="solver_rhs18" localSheetId="1" hidden="1">Original!$I$90</definedName>
    <definedName name="solver_rhs18" localSheetId="6" hidden="1">Pass0100!$I$90</definedName>
    <definedName name="solver_rhs19" localSheetId="2" hidden="1">'00xx'!$I$98</definedName>
    <definedName name="solver_rhs19" localSheetId="8" hidden="1">'00xxVert'!$I$98</definedName>
    <definedName name="solver_rhs19" localSheetId="7" hidden="1">'0101fail'!$I$98</definedName>
    <definedName name="solver_rhs19" localSheetId="4" hidden="1">'010x'!$I$98</definedName>
    <definedName name="solver_rhs19" localSheetId="5" hidden="1">'011xfail'!$I$98</definedName>
    <definedName name="solver_rhs19" localSheetId="3" hidden="1">'01xx'!$I$98</definedName>
    <definedName name="solver_rhs19" localSheetId="9" hidden="1">'01xxVert'!$I$98</definedName>
    <definedName name="solver_rhs19" localSheetId="10" hidden="1">'01xxVert00xx'!$I$98</definedName>
    <definedName name="solver_rhs19" localSheetId="11" hidden="1">'01xxVert01xxfail'!$I$98</definedName>
    <definedName name="solver_rhs19" localSheetId="1" hidden="1">Original!$I$98</definedName>
    <definedName name="solver_rhs19" localSheetId="6" hidden="1">Pass0100!$I$98</definedName>
    <definedName name="solver_rhs2" localSheetId="2" hidden="1">'00xx'!$E$158:$E$161</definedName>
    <definedName name="solver_rhs2" localSheetId="8" hidden="1">'00xxVert'!$E$158:$E$161</definedName>
    <definedName name="solver_rhs2" localSheetId="7" hidden="1">'0101fail'!$E$158:$E$161</definedName>
    <definedName name="solver_rhs2" localSheetId="4" hidden="1">'010x'!$E$158:$E$161</definedName>
    <definedName name="solver_rhs2" localSheetId="5" hidden="1">'011xfail'!$E$158:$E$161</definedName>
    <definedName name="solver_rhs2" localSheetId="3" hidden="1">'01xx'!$E$158:$E$161</definedName>
    <definedName name="solver_rhs2" localSheetId="9" hidden="1">'01xxVert'!$E$158:$E$161</definedName>
    <definedName name="solver_rhs2" localSheetId="10" hidden="1">'01xxVert00xx'!$E$158:$E$161</definedName>
    <definedName name="solver_rhs2" localSheetId="11" hidden="1">'01xxVert01xxfail'!$E$158:$E$161</definedName>
    <definedName name="solver_rhs2" localSheetId="1" hidden="1">Original!$E$158:$E$161</definedName>
    <definedName name="solver_rhs2" localSheetId="6" hidden="1">Pass0100!$E$158:$E$161</definedName>
    <definedName name="solver_rhs3" localSheetId="2" hidden="1">1</definedName>
    <definedName name="solver_rhs3" localSheetId="8" hidden="1">1</definedName>
    <definedName name="solver_rhs3" localSheetId="7" hidden="1">1</definedName>
    <definedName name="solver_rhs3" localSheetId="4" hidden="1">1</definedName>
    <definedName name="solver_rhs3" localSheetId="5" hidden="1">1</definedName>
    <definedName name="solver_rhs3" localSheetId="3" hidden="1">1</definedName>
    <definedName name="solver_rhs3" localSheetId="9" hidden="1">1</definedName>
    <definedName name="solver_rhs3" localSheetId="10" hidden="1">1</definedName>
    <definedName name="solver_rhs3" localSheetId="11" hidden="1">1</definedName>
    <definedName name="solver_rhs3" localSheetId="1" hidden="1">1</definedName>
    <definedName name="solver_rhs3" localSheetId="6" hidden="1">1</definedName>
    <definedName name="solver_rhs4" localSheetId="2" hidden="1">0</definedName>
    <definedName name="solver_rhs4" localSheetId="8" hidden="1">0</definedName>
    <definedName name="solver_rhs4" localSheetId="7" hidden="1">0</definedName>
    <definedName name="solver_rhs4" localSheetId="4" hidden="1">0</definedName>
    <definedName name="solver_rhs4" localSheetId="5" hidden="1">0</definedName>
    <definedName name="solver_rhs4" localSheetId="3" hidden="1">0</definedName>
    <definedName name="solver_rhs4" localSheetId="9" hidden="1">0</definedName>
    <definedName name="solver_rhs4" localSheetId="10" hidden="1">0</definedName>
    <definedName name="solver_rhs4" localSheetId="11" hidden="1">0</definedName>
    <definedName name="solver_rhs4" localSheetId="1" hidden="1">0</definedName>
    <definedName name="solver_rhs4" localSheetId="6" hidden="1">0</definedName>
    <definedName name="solver_rhs5" localSheetId="2" hidden="1">'00xx'!$I$106</definedName>
    <definedName name="solver_rhs5" localSheetId="8" hidden="1">'00xxVert'!$I$106</definedName>
    <definedName name="solver_rhs5" localSheetId="7" hidden="1">'0101fail'!$I$106</definedName>
    <definedName name="solver_rhs5" localSheetId="4" hidden="1">'010x'!$I$106</definedName>
    <definedName name="solver_rhs5" localSheetId="5" hidden="1">'011xfail'!$I$106</definedName>
    <definedName name="solver_rhs5" localSheetId="3" hidden="1">'01xx'!$I$106</definedName>
    <definedName name="solver_rhs5" localSheetId="9" hidden="1">'01xxVert'!$I$106</definedName>
    <definedName name="solver_rhs5" localSheetId="10" hidden="1">'01xxVert00xx'!$I$106</definedName>
    <definedName name="solver_rhs5" localSheetId="11" hidden="1">'01xxVert01xxfail'!$I$106</definedName>
    <definedName name="solver_rhs5" localSheetId="1" hidden="1">Original!$I$106</definedName>
    <definedName name="solver_rhs5" localSheetId="6" hidden="1">Pass0100!$I$106</definedName>
    <definedName name="solver_rhs6" localSheetId="2" hidden="1">'00xx'!$I$114</definedName>
    <definedName name="solver_rhs6" localSheetId="8" hidden="1">'00xxVert'!$I$114</definedName>
    <definedName name="solver_rhs6" localSheetId="7" hidden="1">'0101fail'!$I$114</definedName>
    <definedName name="solver_rhs6" localSheetId="4" hidden="1">'010x'!$I$114</definedName>
    <definedName name="solver_rhs6" localSheetId="5" hidden="1">'011xfail'!$I$114</definedName>
    <definedName name="solver_rhs6" localSheetId="3" hidden="1">'01xx'!$I$114</definedName>
    <definedName name="solver_rhs6" localSheetId="9" hidden="1">'01xxVert'!$I$114</definedName>
    <definedName name="solver_rhs6" localSheetId="10" hidden="1">'01xxVert00xx'!$I$114</definedName>
    <definedName name="solver_rhs6" localSheetId="11" hidden="1">'01xxVert01xxfail'!$I$114</definedName>
    <definedName name="solver_rhs6" localSheetId="1" hidden="1">Original!$I$114</definedName>
    <definedName name="solver_rhs6" localSheetId="6" hidden="1">Pass0100!$I$114</definedName>
    <definedName name="solver_rhs7" localSheetId="2" hidden="1">'00xx'!$I$122</definedName>
    <definedName name="solver_rhs7" localSheetId="8" hidden="1">'00xxVert'!$I$122</definedName>
    <definedName name="solver_rhs7" localSheetId="7" hidden="1">'0101fail'!$I$122</definedName>
    <definedName name="solver_rhs7" localSheetId="4" hidden="1">'010x'!$I$122</definedName>
    <definedName name="solver_rhs7" localSheetId="5" hidden="1">'011xfail'!$I$122</definedName>
    <definedName name="solver_rhs7" localSheetId="3" hidden="1">'01xx'!$I$122</definedName>
    <definedName name="solver_rhs7" localSheetId="9" hidden="1">'01xxVert'!$I$122</definedName>
    <definedName name="solver_rhs7" localSheetId="10" hidden="1">'01xxVert00xx'!$I$122</definedName>
    <definedName name="solver_rhs7" localSheetId="11" hidden="1">'01xxVert01xxfail'!$I$122</definedName>
    <definedName name="solver_rhs7" localSheetId="1" hidden="1">Original!$I$122</definedName>
    <definedName name="solver_rhs7" localSheetId="6" hidden="1">Pass0100!$I$122</definedName>
    <definedName name="solver_rhs8" localSheetId="2" hidden="1">'00xx'!$I$130</definedName>
    <definedName name="solver_rhs8" localSheetId="8" hidden="1">'00xxVert'!$I$130</definedName>
    <definedName name="solver_rhs8" localSheetId="7" hidden="1">'0101fail'!$I$130</definedName>
    <definedName name="solver_rhs8" localSheetId="4" hidden="1">'010x'!$I$130</definedName>
    <definedName name="solver_rhs8" localSheetId="5" hidden="1">'011xfail'!$I$130</definedName>
    <definedName name="solver_rhs8" localSheetId="3" hidden="1">'01xx'!$I$130</definedName>
    <definedName name="solver_rhs8" localSheetId="9" hidden="1">'01xxVert'!$I$130</definedName>
    <definedName name="solver_rhs8" localSheetId="10" hidden="1">'01xxVert00xx'!$I$130</definedName>
    <definedName name="solver_rhs8" localSheetId="11" hidden="1">'01xxVert01xxfail'!$I$130</definedName>
    <definedName name="solver_rhs8" localSheetId="1" hidden="1">Original!$I$130</definedName>
    <definedName name="solver_rhs8" localSheetId="6" hidden="1">Pass0100!$I$130</definedName>
    <definedName name="solver_rhs9" localSheetId="2" hidden="1">'00xx'!$I$138</definedName>
    <definedName name="solver_rhs9" localSheetId="8" hidden="1">'00xxVert'!$I$138</definedName>
    <definedName name="solver_rhs9" localSheetId="7" hidden="1">'0101fail'!$I$138</definedName>
    <definedName name="solver_rhs9" localSheetId="4" hidden="1">'010x'!$I$138</definedName>
    <definedName name="solver_rhs9" localSheetId="5" hidden="1">'011xfail'!$I$138</definedName>
    <definedName name="solver_rhs9" localSheetId="3" hidden="1">'01xx'!$I$138</definedName>
    <definedName name="solver_rhs9" localSheetId="9" hidden="1">'01xxVert'!$I$138</definedName>
    <definedName name="solver_rhs9" localSheetId="10" hidden="1">'01xxVert00xx'!$I$138</definedName>
    <definedName name="solver_rhs9" localSheetId="11" hidden="1">'01xxVert01xxfail'!$I$138</definedName>
    <definedName name="solver_rhs9" localSheetId="1" hidden="1">Original!$I$138</definedName>
    <definedName name="solver_rhs9" localSheetId="6" hidden="1">Pass0100!$I$138</definedName>
    <definedName name="solver_rlx" localSheetId="2" hidden="1">2</definedName>
    <definedName name="solver_rlx" localSheetId="8" hidden="1">2</definedName>
    <definedName name="solver_rlx" localSheetId="7" hidden="1">2</definedName>
    <definedName name="solver_rlx" localSheetId="4" hidden="1">2</definedName>
    <definedName name="solver_rlx" localSheetId="5" hidden="1">2</definedName>
    <definedName name="solver_rlx" localSheetId="3" hidden="1">2</definedName>
    <definedName name="solver_rlx" localSheetId="9" hidden="1">2</definedName>
    <definedName name="solver_rlx" localSheetId="10" hidden="1">2</definedName>
    <definedName name="solver_rlx" localSheetId="11" hidden="1">2</definedName>
    <definedName name="solver_rlx" localSheetId="1" hidden="1">2</definedName>
    <definedName name="solver_rlx" localSheetId="6" hidden="1">2</definedName>
    <definedName name="solver_rsd" localSheetId="2" hidden="1">0</definedName>
    <definedName name="solver_rsd" localSheetId="8" hidden="1">0</definedName>
    <definedName name="solver_rsd" localSheetId="7" hidden="1">0</definedName>
    <definedName name="solver_rsd" localSheetId="4" hidden="1">0</definedName>
    <definedName name="solver_rsd" localSheetId="5" hidden="1">0</definedName>
    <definedName name="solver_rsd" localSheetId="3" hidden="1">0</definedName>
    <definedName name="solver_rsd" localSheetId="9" hidden="1">0</definedName>
    <definedName name="solver_rsd" localSheetId="10" hidden="1">0</definedName>
    <definedName name="solver_rsd" localSheetId="11" hidden="1">0</definedName>
    <definedName name="solver_rsd" localSheetId="1" hidden="1">0</definedName>
    <definedName name="solver_rsd" localSheetId="6" hidden="1">0</definedName>
    <definedName name="solver_scl" localSheetId="2" hidden="1">2</definedName>
    <definedName name="solver_scl" localSheetId="8" hidden="1">2</definedName>
    <definedName name="solver_scl" localSheetId="7" hidden="1">2</definedName>
    <definedName name="solver_scl" localSheetId="4" hidden="1">2</definedName>
    <definedName name="solver_scl" localSheetId="5" hidden="1">2</definedName>
    <definedName name="solver_scl" localSheetId="3" hidden="1">2</definedName>
    <definedName name="solver_scl" localSheetId="9" hidden="1">2</definedName>
    <definedName name="solver_scl" localSheetId="10" hidden="1">2</definedName>
    <definedName name="solver_scl" localSheetId="11" hidden="1">2</definedName>
    <definedName name="solver_scl" localSheetId="1" hidden="1">2</definedName>
    <definedName name="solver_scl" localSheetId="6" hidden="1">2</definedName>
    <definedName name="solver_sho" localSheetId="2" hidden="1">2</definedName>
    <definedName name="solver_sho" localSheetId="8" hidden="1">2</definedName>
    <definedName name="solver_sho" localSheetId="7" hidden="1">2</definedName>
    <definedName name="solver_sho" localSheetId="4" hidden="1">2</definedName>
    <definedName name="solver_sho" localSheetId="5" hidden="1">2</definedName>
    <definedName name="solver_sho" localSheetId="3" hidden="1">2</definedName>
    <definedName name="solver_sho" localSheetId="9" hidden="1">2</definedName>
    <definedName name="solver_sho" localSheetId="10" hidden="1">2</definedName>
    <definedName name="solver_sho" localSheetId="11" hidden="1">2</definedName>
    <definedName name="solver_sho" localSheetId="1" hidden="1">2</definedName>
    <definedName name="solver_sho" localSheetId="6" hidden="1">2</definedName>
    <definedName name="solver_ssz" localSheetId="2" hidden="1">0</definedName>
    <definedName name="solver_ssz" localSheetId="8" hidden="1">0</definedName>
    <definedName name="solver_ssz" localSheetId="7" hidden="1">0</definedName>
    <definedName name="solver_ssz" localSheetId="4" hidden="1">0</definedName>
    <definedName name="solver_ssz" localSheetId="5" hidden="1">0</definedName>
    <definedName name="solver_ssz" localSheetId="3" hidden="1">0</definedName>
    <definedName name="solver_ssz" localSheetId="9" hidden="1">0</definedName>
    <definedName name="solver_ssz" localSheetId="10" hidden="1">0</definedName>
    <definedName name="solver_ssz" localSheetId="11" hidden="1">0</definedName>
    <definedName name="solver_ssz" localSheetId="1" hidden="1">0</definedName>
    <definedName name="solver_ssz" localSheetId="6" hidden="1">0</definedName>
    <definedName name="solver_tim" localSheetId="2" hidden="1">2147483647</definedName>
    <definedName name="solver_tim" localSheetId="8" hidden="1">2147483647</definedName>
    <definedName name="solver_tim" localSheetId="7" hidden="1">2147483647</definedName>
    <definedName name="solver_tim" localSheetId="4" hidden="1">2147483647</definedName>
    <definedName name="solver_tim" localSheetId="5" hidden="1">2147483647</definedName>
    <definedName name="solver_tim" localSheetId="3" hidden="1">2147483647</definedName>
    <definedName name="solver_tim" localSheetId="9" hidden="1">2147483647</definedName>
    <definedName name="solver_tim" localSheetId="10" hidden="1">2147483647</definedName>
    <definedName name="solver_tim" localSheetId="11" hidden="1">2147483647</definedName>
    <definedName name="solver_tim" localSheetId="1" hidden="1">2147483647</definedName>
    <definedName name="solver_tim" localSheetId="6" hidden="1">2147483647</definedName>
    <definedName name="solver_tol" localSheetId="2" hidden="1">0.01</definedName>
    <definedName name="solver_tol" localSheetId="8" hidden="1">0.01</definedName>
    <definedName name="solver_tol" localSheetId="7" hidden="1">0.01</definedName>
    <definedName name="solver_tol" localSheetId="4" hidden="1">0.01</definedName>
    <definedName name="solver_tol" localSheetId="5" hidden="1">0.01</definedName>
    <definedName name="solver_tol" localSheetId="3" hidden="1">0.01</definedName>
    <definedName name="solver_tol" localSheetId="9" hidden="1">0.01</definedName>
    <definedName name="solver_tol" localSheetId="10" hidden="1">0.01</definedName>
    <definedName name="solver_tol" localSheetId="11" hidden="1">0.01</definedName>
    <definedName name="solver_tol" localSheetId="1" hidden="1">0.01</definedName>
    <definedName name="solver_tol" localSheetId="6" hidden="1">0.01</definedName>
    <definedName name="solver_typ" localSheetId="2" hidden="1">2</definedName>
    <definedName name="solver_typ" localSheetId="8" hidden="1">2</definedName>
    <definedName name="solver_typ" localSheetId="7" hidden="1">2</definedName>
    <definedName name="solver_typ" localSheetId="4" hidden="1">2</definedName>
    <definedName name="solver_typ" localSheetId="5" hidden="1">2</definedName>
    <definedName name="solver_typ" localSheetId="3" hidden="1">2</definedName>
    <definedName name="solver_typ" localSheetId="9" hidden="1">2</definedName>
    <definedName name="solver_typ" localSheetId="10" hidden="1">2</definedName>
    <definedName name="solver_typ" localSheetId="11" hidden="1">2</definedName>
    <definedName name="solver_typ" localSheetId="1" hidden="1">2</definedName>
    <definedName name="solver_typ" localSheetId="6" hidden="1">2</definedName>
    <definedName name="solver_val" localSheetId="2" hidden="1">0</definedName>
    <definedName name="solver_val" localSheetId="8" hidden="1">0</definedName>
    <definedName name="solver_val" localSheetId="7" hidden="1">0</definedName>
    <definedName name="solver_val" localSheetId="4" hidden="1">0</definedName>
    <definedName name="solver_val" localSheetId="5" hidden="1">0</definedName>
    <definedName name="solver_val" localSheetId="3" hidden="1">0</definedName>
    <definedName name="solver_val" localSheetId="9" hidden="1">0</definedName>
    <definedName name="solver_val" localSheetId="10" hidden="1">0</definedName>
    <definedName name="solver_val" localSheetId="11" hidden="1">0</definedName>
    <definedName name="solver_val" localSheetId="1" hidden="1">0</definedName>
    <definedName name="solver_val" localSheetId="6" hidden="1">0</definedName>
    <definedName name="solver_ver" localSheetId="2" hidden="1">3</definedName>
    <definedName name="solver_ver" localSheetId="8" hidden="1">3</definedName>
    <definedName name="solver_ver" localSheetId="7" hidden="1">3</definedName>
    <definedName name="solver_ver" localSheetId="4" hidden="1">3</definedName>
    <definedName name="solver_ver" localSheetId="5" hidden="1">3</definedName>
    <definedName name="solver_ver" localSheetId="3" hidden="1">3</definedName>
    <definedName name="solver_ver" localSheetId="9" hidden="1">3</definedName>
    <definedName name="solver_ver" localSheetId="10" hidden="1">3</definedName>
    <definedName name="solver_ver" localSheetId="11" hidden="1">3</definedName>
    <definedName name="solver_ver" localSheetId="1" hidden="1">3</definedName>
    <definedName name="solver_ver" localSheetId="6" hidden="1">3</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6" i="16" l="1"/>
  <c r="J146" i="16" s="1"/>
  <c r="G138" i="16"/>
  <c r="J138" i="16" s="1"/>
  <c r="G130" i="16"/>
  <c r="J130" i="16" s="1"/>
  <c r="G122" i="16"/>
  <c r="J122" i="16" s="1"/>
  <c r="G114" i="16"/>
  <c r="J114" i="16" s="1"/>
  <c r="G106" i="16"/>
  <c r="J106" i="16" s="1"/>
  <c r="G98" i="16"/>
  <c r="J98" i="16" s="1"/>
  <c r="G90" i="16"/>
  <c r="J90" i="16" s="1"/>
  <c r="G82" i="16"/>
  <c r="J82" i="16" s="1"/>
  <c r="G74" i="16"/>
  <c r="J74" i="16" s="1"/>
  <c r="G66" i="16"/>
  <c r="J66" i="16" s="1"/>
  <c r="G58" i="16"/>
  <c r="J58" i="16" s="1"/>
  <c r="G50" i="16"/>
  <c r="J50" i="16" s="1"/>
  <c r="G42" i="16"/>
  <c r="J42" i="16" s="1"/>
  <c r="G34" i="16"/>
  <c r="J34" i="16" s="1"/>
  <c r="E28" i="16"/>
  <c r="D28" i="16"/>
  <c r="C28" i="16"/>
  <c r="F27" i="16"/>
  <c r="D27" i="16"/>
  <c r="C27" i="16"/>
  <c r="F26" i="16"/>
  <c r="E26" i="16"/>
  <c r="C26" i="16"/>
  <c r="F25" i="16"/>
  <c r="E25" i="16"/>
  <c r="D25" i="16"/>
  <c r="F20" i="16"/>
  <c r="F153" i="16" s="1"/>
  <c r="E20" i="16"/>
  <c r="E153" i="16" s="1"/>
  <c r="D20" i="16"/>
  <c r="D21" i="16" s="1"/>
  <c r="C20" i="16"/>
  <c r="C21" i="16" s="1"/>
  <c r="G19" i="16"/>
  <c r="C161" i="16" s="1"/>
  <c r="G18" i="16"/>
  <c r="H18" i="16" s="1"/>
  <c r="G17" i="16"/>
  <c r="C159" i="16" s="1"/>
  <c r="G16" i="16"/>
  <c r="H16" i="16" s="1"/>
  <c r="B3" i="16"/>
  <c r="B1" i="16"/>
  <c r="B2" i="16" s="1"/>
  <c r="G146" i="15"/>
  <c r="J146" i="15" s="1"/>
  <c r="G138" i="15"/>
  <c r="J138" i="15" s="1"/>
  <c r="G130" i="15"/>
  <c r="J130" i="15" s="1"/>
  <c r="G122" i="15"/>
  <c r="J122" i="15" s="1"/>
  <c r="G114" i="15"/>
  <c r="J114" i="15" s="1"/>
  <c r="G106" i="15"/>
  <c r="J106" i="15" s="1"/>
  <c r="G98" i="15"/>
  <c r="J98" i="15" s="1"/>
  <c r="G90" i="15"/>
  <c r="J90" i="15" s="1"/>
  <c r="G82" i="15"/>
  <c r="J82" i="15" s="1"/>
  <c r="G74" i="15"/>
  <c r="J74" i="15" s="1"/>
  <c r="G66" i="15"/>
  <c r="J66" i="15" s="1"/>
  <c r="G58" i="15"/>
  <c r="J58" i="15" s="1"/>
  <c r="G50" i="15"/>
  <c r="J50" i="15" s="1"/>
  <c r="G42" i="15"/>
  <c r="J42" i="15" s="1"/>
  <c r="G34" i="15"/>
  <c r="J34" i="15" s="1"/>
  <c r="E28" i="15"/>
  <c r="D28" i="15"/>
  <c r="C28" i="15"/>
  <c r="F27" i="15"/>
  <c r="D27" i="15"/>
  <c r="C27" i="15"/>
  <c r="F26" i="15"/>
  <c r="E26" i="15"/>
  <c r="B3" i="15" s="1"/>
  <c r="C26" i="15"/>
  <c r="F25" i="15"/>
  <c r="E25" i="15"/>
  <c r="D25" i="15"/>
  <c r="F20" i="15"/>
  <c r="F153" i="15" s="1"/>
  <c r="E20" i="15"/>
  <c r="E153" i="15" s="1"/>
  <c r="D20" i="15"/>
  <c r="D21" i="15" s="1"/>
  <c r="C20" i="15"/>
  <c r="C21" i="15" s="1"/>
  <c r="G19" i="15"/>
  <c r="C161" i="15" s="1"/>
  <c r="G18" i="15"/>
  <c r="H18" i="15" s="1"/>
  <c r="G17" i="15"/>
  <c r="C159" i="15" s="1"/>
  <c r="G16" i="15"/>
  <c r="H16" i="15" s="1"/>
  <c r="B1" i="15"/>
  <c r="B2" i="15" s="1"/>
  <c r="G146" i="14"/>
  <c r="J146" i="14" s="1"/>
  <c r="G138" i="14"/>
  <c r="J138" i="14" s="1"/>
  <c r="G130" i="14"/>
  <c r="J130" i="14" s="1"/>
  <c r="G122" i="14"/>
  <c r="J122" i="14" s="1"/>
  <c r="G114" i="14"/>
  <c r="J114" i="14" s="1"/>
  <c r="G106" i="14"/>
  <c r="J106" i="14" s="1"/>
  <c r="G98" i="14"/>
  <c r="J98" i="14" s="1"/>
  <c r="G90" i="14"/>
  <c r="J90" i="14" s="1"/>
  <c r="G82" i="14"/>
  <c r="J82" i="14" s="1"/>
  <c r="G74" i="14"/>
  <c r="J74" i="14" s="1"/>
  <c r="G66" i="14"/>
  <c r="J66" i="14" s="1"/>
  <c r="G58" i="14"/>
  <c r="J58" i="14" s="1"/>
  <c r="G50" i="14"/>
  <c r="J50" i="14" s="1"/>
  <c r="G42" i="14"/>
  <c r="J42" i="14" s="1"/>
  <c r="G34" i="14"/>
  <c r="J34" i="14" s="1"/>
  <c r="E28" i="14"/>
  <c r="D28" i="14"/>
  <c r="C28" i="14"/>
  <c r="F27" i="14"/>
  <c r="D27" i="14"/>
  <c r="C27" i="14"/>
  <c r="F26" i="14"/>
  <c r="E26" i="14"/>
  <c r="C26" i="14"/>
  <c r="F25" i="14"/>
  <c r="E25" i="14"/>
  <c r="D25" i="14"/>
  <c r="F20" i="14"/>
  <c r="F153" i="14" s="1"/>
  <c r="E20" i="14"/>
  <c r="E21" i="14" s="1"/>
  <c r="D20" i="14"/>
  <c r="D21" i="14" s="1"/>
  <c r="C20" i="14"/>
  <c r="C21" i="14" s="1"/>
  <c r="G19" i="14"/>
  <c r="C161" i="14" s="1"/>
  <c r="G18" i="14"/>
  <c r="H18" i="14" s="1"/>
  <c r="G17" i="14"/>
  <c r="H17" i="14" s="1"/>
  <c r="G16" i="14"/>
  <c r="H16" i="14" s="1"/>
  <c r="B3" i="14"/>
  <c r="B1" i="14"/>
  <c r="B2" i="14" s="1"/>
  <c r="G146" i="13"/>
  <c r="J146" i="13" s="1"/>
  <c r="G138" i="13"/>
  <c r="J138" i="13" s="1"/>
  <c r="G130" i="13"/>
  <c r="J130" i="13" s="1"/>
  <c r="G122" i="13"/>
  <c r="J122" i="13" s="1"/>
  <c r="G114" i="13"/>
  <c r="J114" i="13" s="1"/>
  <c r="G106" i="13"/>
  <c r="J106" i="13" s="1"/>
  <c r="G98" i="13"/>
  <c r="J98" i="13" s="1"/>
  <c r="G90" i="13"/>
  <c r="J90" i="13" s="1"/>
  <c r="G82" i="13"/>
  <c r="J82" i="13" s="1"/>
  <c r="G74" i="13"/>
  <c r="J74" i="13" s="1"/>
  <c r="G66" i="13"/>
  <c r="J66" i="13" s="1"/>
  <c r="G58" i="13"/>
  <c r="J58" i="13" s="1"/>
  <c r="G50" i="13"/>
  <c r="J50" i="13" s="1"/>
  <c r="G42" i="13"/>
  <c r="J42" i="13" s="1"/>
  <c r="G34" i="13"/>
  <c r="J34" i="13" s="1"/>
  <c r="E28" i="13"/>
  <c r="D28" i="13"/>
  <c r="C28" i="13"/>
  <c r="F27" i="13"/>
  <c r="D27" i="13"/>
  <c r="C27" i="13"/>
  <c r="F26" i="13"/>
  <c r="E26" i="13"/>
  <c r="C26" i="13"/>
  <c r="F25" i="13"/>
  <c r="E25" i="13"/>
  <c r="D25" i="13"/>
  <c r="F20" i="13"/>
  <c r="F153" i="13" s="1"/>
  <c r="E20" i="13"/>
  <c r="E153" i="13" s="1"/>
  <c r="D20" i="13"/>
  <c r="D21" i="13" s="1"/>
  <c r="C20" i="13"/>
  <c r="C21" i="13" s="1"/>
  <c r="G19" i="13"/>
  <c r="C161" i="13" s="1"/>
  <c r="G18" i="13"/>
  <c r="H18" i="13" s="1"/>
  <c r="G17" i="13"/>
  <c r="C159" i="13" s="1"/>
  <c r="G16" i="13"/>
  <c r="H16" i="13" s="1"/>
  <c r="B1" i="13"/>
  <c r="B2" i="13" s="1"/>
  <c r="G146" i="11"/>
  <c r="J146" i="11" s="1"/>
  <c r="G138" i="11"/>
  <c r="J138" i="11" s="1"/>
  <c r="G130" i="11"/>
  <c r="J130" i="11" s="1"/>
  <c r="G122" i="11"/>
  <c r="J122" i="11" s="1"/>
  <c r="G114" i="11"/>
  <c r="J114" i="11" s="1"/>
  <c r="G106" i="11"/>
  <c r="J106" i="11" s="1"/>
  <c r="G98" i="11"/>
  <c r="J98" i="11" s="1"/>
  <c r="G90" i="11"/>
  <c r="J90" i="11" s="1"/>
  <c r="G82" i="11"/>
  <c r="J82" i="11" s="1"/>
  <c r="G74" i="11"/>
  <c r="J74" i="11" s="1"/>
  <c r="G66" i="11"/>
  <c r="J66" i="11" s="1"/>
  <c r="G58" i="11"/>
  <c r="J58" i="11" s="1"/>
  <c r="G50" i="11"/>
  <c r="J50" i="11" s="1"/>
  <c r="G42" i="11"/>
  <c r="J42" i="11" s="1"/>
  <c r="G34" i="11"/>
  <c r="J34" i="11" s="1"/>
  <c r="E28" i="11"/>
  <c r="D28" i="11"/>
  <c r="C28" i="11"/>
  <c r="F27" i="11"/>
  <c r="D27" i="11"/>
  <c r="C27" i="11"/>
  <c r="F26" i="11"/>
  <c r="E26" i="11"/>
  <c r="C26" i="11"/>
  <c r="F25" i="11"/>
  <c r="E25" i="11"/>
  <c r="D25" i="11"/>
  <c r="F20" i="11"/>
  <c r="F153" i="11" s="1"/>
  <c r="E20" i="11"/>
  <c r="E21" i="11" s="1"/>
  <c r="D20" i="11"/>
  <c r="D21" i="11" s="1"/>
  <c r="C20" i="11"/>
  <c r="C21" i="11" s="1"/>
  <c r="G19" i="11"/>
  <c r="C161" i="11" s="1"/>
  <c r="G18" i="11"/>
  <c r="H18" i="11" s="1"/>
  <c r="G17" i="11"/>
  <c r="C159" i="11" s="1"/>
  <c r="G16" i="11"/>
  <c r="H16" i="11" s="1"/>
  <c r="B1" i="11"/>
  <c r="B2" i="11" s="1"/>
  <c r="C158" i="10"/>
  <c r="G146" i="10"/>
  <c r="J146" i="10" s="1"/>
  <c r="G138" i="10"/>
  <c r="J138" i="10" s="1"/>
  <c r="G130" i="10"/>
  <c r="J130" i="10" s="1"/>
  <c r="G122" i="10"/>
  <c r="J122" i="10" s="1"/>
  <c r="G114" i="10"/>
  <c r="J114" i="10" s="1"/>
  <c r="G106" i="10"/>
  <c r="J106" i="10" s="1"/>
  <c r="G98" i="10"/>
  <c r="J98" i="10" s="1"/>
  <c r="G90" i="10"/>
  <c r="J90" i="10" s="1"/>
  <c r="G82" i="10"/>
  <c r="J82" i="10" s="1"/>
  <c r="G74" i="10"/>
  <c r="J74" i="10" s="1"/>
  <c r="G66" i="10"/>
  <c r="J66" i="10" s="1"/>
  <c r="G58" i="10"/>
  <c r="J58" i="10" s="1"/>
  <c r="G50" i="10"/>
  <c r="J50" i="10" s="1"/>
  <c r="G42" i="10"/>
  <c r="J42" i="10" s="1"/>
  <c r="G34" i="10"/>
  <c r="J34" i="10" s="1"/>
  <c r="E28" i="10"/>
  <c r="D28" i="10"/>
  <c r="C28" i="10"/>
  <c r="F27" i="10"/>
  <c r="D27" i="10"/>
  <c r="C27" i="10"/>
  <c r="F26" i="10"/>
  <c r="E26" i="10"/>
  <c r="B3" i="10" s="1"/>
  <c r="C26" i="10"/>
  <c r="F25" i="10"/>
  <c r="E25" i="10"/>
  <c r="D25" i="10"/>
  <c r="F20" i="10"/>
  <c r="F153" i="10" s="1"/>
  <c r="E20" i="10"/>
  <c r="E153" i="10" s="1"/>
  <c r="D20" i="10"/>
  <c r="D21" i="10" s="1"/>
  <c r="C20" i="10"/>
  <c r="C21" i="10" s="1"/>
  <c r="G19" i="10"/>
  <c r="C161" i="10" s="1"/>
  <c r="G18" i="10"/>
  <c r="H18" i="10" s="1"/>
  <c r="G17" i="10"/>
  <c r="C159" i="10" s="1"/>
  <c r="G16" i="10"/>
  <c r="H16" i="10" s="1"/>
  <c r="B1" i="10"/>
  <c r="B2" i="10" s="1"/>
  <c r="G146" i="9"/>
  <c r="J146" i="9" s="1"/>
  <c r="G138" i="9"/>
  <c r="J138" i="9" s="1"/>
  <c r="G130" i="9"/>
  <c r="J130" i="9" s="1"/>
  <c r="G122" i="9"/>
  <c r="J122" i="9" s="1"/>
  <c r="G114" i="9"/>
  <c r="J114" i="9" s="1"/>
  <c r="G106" i="9"/>
  <c r="J106" i="9" s="1"/>
  <c r="G98" i="9"/>
  <c r="J98" i="9" s="1"/>
  <c r="G90" i="9"/>
  <c r="J90" i="9" s="1"/>
  <c r="G82" i="9"/>
  <c r="J82" i="9" s="1"/>
  <c r="G74" i="9"/>
  <c r="J74" i="9" s="1"/>
  <c r="G66" i="9"/>
  <c r="J66" i="9" s="1"/>
  <c r="G58" i="9"/>
  <c r="J58" i="9" s="1"/>
  <c r="G50" i="9"/>
  <c r="J50" i="9" s="1"/>
  <c r="G42" i="9"/>
  <c r="J42" i="9" s="1"/>
  <c r="G34" i="9"/>
  <c r="J34" i="9" s="1"/>
  <c r="E28" i="9"/>
  <c r="D28" i="9"/>
  <c r="C28" i="9"/>
  <c r="F27" i="9"/>
  <c r="D27" i="9"/>
  <c r="C27" i="9"/>
  <c r="F26" i="9"/>
  <c r="E26" i="9"/>
  <c r="C26" i="9"/>
  <c r="F25" i="9"/>
  <c r="E25" i="9"/>
  <c r="D25" i="9"/>
  <c r="F20" i="9"/>
  <c r="F153" i="9" s="1"/>
  <c r="E20" i="9"/>
  <c r="E153" i="9" s="1"/>
  <c r="D20" i="9"/>
  <c r="D21" i="9" s="1"/>
  <c r="C20" i="9"/>
  <c r="C21" i="9" s="1"/>
  <c r="G19" i="9"/>
  <c r="C161" i="9" s="1"/>
  <c r="G18" i="9"/>
  <c r="H18" i="9" s="1"/>
  <c r="G17" i="9"/>
  <c r="H17" i="9" s="1"/>
  <c r="G16" i="9"/>
  <c r="H16" i="9" s="1"/>
  <c r="B1" i="9"/>
  <c r="B2" i="9" s="1"/>
  <c r="G146" i="8"/>
  <c r="J146" i="8" s="1"/>
  <c r="G138" i="8"/>
  <c r="J138" i="8" s="1"/>
  <c r="G130" i="8"/>
  <c r="J130" i="8" s="1"/>
  <c r="G122" i="8"/>
  <c r="J122" i="8" s="1"/>
  <c r="G114" i="8"/>
  <c r="J114" i="8" s="1"/>
  <c r="G106" i="8"/>
  <c r="J106" i="8" s="1"/>
  <c r="G98" i="8"/>
  <c r="J98" i="8" s="1"/>
  <c r="G90" i="8"/>
  <c r="J90" i="8" s="1"/>
  <c r="G82" i="8"/>
  <c r="J82" i="8" s="1"/>
  <c r="G74" i="8"/>
  <c r="J74" i="8" s="1"/>
  <c r="G66" i="8"/>
  <c r="J66" i="8" s="1"/>
  <c r="G58" i="8"/>
  <c r="J58" i="8" s="1"/>
  <c r="G50" i="8"/>
  <c r="J50" i="8" s="1"/>
  <c r="G42" i="8"/>
  <c r="J42" i="8" s="1"/>
  <c r="G34" i="8"/>
  <c r="J34" i="8" s="1"/>
  <c r="E28" i="8"/>
  <c r="D28" i="8"/>
  <c r="C28" i="8"/>
  <c r="F27" i="8"/>
  <c r="D27" i="8"/>
  <c r="C27" i="8"/>
  <c r="F26" i="8"/>
  <c r="E26" i="8"/>
  <c r="C26" i="8"/>
  <c r="F25" i="8"/>
  <c r="E25" i="8"/>
  <c r="D25" i="8"/>
  <c r="F20" i="8"/>
  <c r="F153" i="8" s="1"/>
  <c r="E20" i="8"/>
  <c r="E153" i="8" s="1"/>
  <c r="D20" i="8"/>
  <c r="D21" i="8" s="1"/>
  <c r="C20" i="8"/>
  <c r="C21" i="8" s="1"/>
  <c r="G19" i="8"/>
  <c r="C161" i="8" s="1"/>
  <c r="G18" i="8"/>
  <c r="H18" i="8" s="1"/>
  <c r="G17" i="8"/>
  <c r="H17" i="8" s="1"/>
  <c r="G16" i="8"/>
  <c r="H16" i="8" s="1"/>
  <c r="B1" i="8"/>
  <c r="B2" i="8" s="1"/>
  <c r="G146" i="7"/>
  <c r="J146" i="7" s="1"/>
  <c r="G138" i="7"/>
  <c r="J138" i="7" s="1"/>
  <c r="G130" i="7"/>
  <c r="J130" i="7" s="1"/>
  <c r="G122" i="7"/>
  <c r="J122" i="7" s="1"/>
  <c r="G114" i="7"/>
  <c r="J114" i="7" s="1"/>
  <c r="G106" i="7"/>
  <c r="J106" i="7" s="1"/>
  <c r="G98" i="7"/>
  <c r="J98" i="7" s="1"/>
  <c r="G90" i="7"/>
  <c r="J90" i="7" s="1"/>
  <c r="G82" i="7"/>
  <c r="J82" i="7" s="1"/>
  <c r="G74" i="7"/>
  <c r="J74" i="7" s="1"/>
  <c r="G66" i="7"/>
  <c r="J66" i="7" s="1"/>
  <c r="G58" i="7"/>
  <c r="J58" i="7" s="1"/>
  <c r="G50" i="7"/>
  <c r="J50" i="7" s="1"/>
  <c r="G42" i="7"/>
  <c r="J42" i="7" s="1"/>
  <c r="G34" i="7"/>
  <c r="J34" i="7" s="1"/>
  <c r="E28" i="7"/>
  <c r="D28" i="7"/>
  <c r="C28" i="7"/>
  <c r="F27" i="7"/>
  <c r="D27" i="7"/>
  <c r="C27" i="7"/>
  <c r="F26" i="7"/>
  <c r="E26" i="7"/>
  <c r="C26" i="7"/>
  <c r="F25" i="7"/>
  <c r="E25" i="7"/>
  <c r="D25" i="7"/>
  <c r="F20" i="7"/>
  <c r="F153" i="7" s="1"/>
  <c r="E20" i="7"/>
  <c r="E153" i="7" s="1"/>
  <c r="D20" i="7"/>
  <c r="D21" i="7" s="1"/>
  <c r="C20" i="7"/>
  <c r="C21" i="7" s="1"/>
  <c r="G19" i="7"/>
  <c r="C161" i="7" s="1"/>
  <c r="G18" i="7"/>
  <c r="H18" i="7" s="1"/>
  <c r="G17" i="7"/>
  <c r="C159" i="7" s="1"/>
  <c r="G16" i="7"/>
  <c r="H16" i="7" s="1"/>
  <c r="B3" i="7"/>
  <c r="B1" i="7"/>
  <c r="B2" i="7" s="1"/>
  <c r="G146" i="6"/>
  <c r="J146" i="6" s="1"/>
  <c r="G138" i="6"/>
  <c r="J138" i="6" s="1"/>
  <c r="G130" i="6"/>
  <c r="J130" i="6" s="1"/>
  <c r="G122" i="6"/>
  <c r="J122" i="6" s="1"/>
  <c r="G114" i="6"/>
  <c r="J114" i="6" s="1"/>
  <c r="G106" i="6"/>
  <c r="J106" i="6" s="1"/>
  <c r="G98" i="6"/>
  <c r="J98" i="6" s="1"/>
  <c r="G90" i="6"/>
  <c r="J90" i="6" s="1"/>
  <c r="G82" i="6"/>
  <c r="J82" i="6" s="1"/>
  <c r="G74" i="6"/>
  <c r="J74" i="6" s="1"/>
  <c r="G66" i="6"/>
  <c r="J66" i="6" s="1"/>
  <c r="G58" i="6"/>
  <c r="J58" i="6" s="1"/>
  <c r="G50" i="6"/>
  <c r="J50" i="6" s="1"/>
  <c r="G42" i="6"/>
  <c r="J42" i="6" s="1"/>
  <c r="G34" i="6"/>
  <c r="J34" i="6" s="1"/>
  <c r="E28" i="6"/>
  <c r="D28" i="6"/>
  <c r="C28" i="6"/>
  <c r="F27" i="6"/>
  <c r="D27" i="6"/>
  <c r="C27" i="6"/>
  <c r="F26" i="6"/>
  <c r="E26" i="6"/>
  <c r="C26" i="6"/>
  <c r="F25" i="6"/>
  <c r="E25" i="6"/>
  <c r="D25" i="6"/>
  <c r="F20" i="6"/>
  <c r="F153" i="6" s="1"/>
  <c r="E20" i="6"/>
  <c r="E153" i="6" s="1"/>
  <c r="D20" i="6"/>
  <c r="D21" i="6" s="1"/>
  <c r="C20" i="6"/>
  <c r="C21" i="6" s="1"/>
  <c r="G19" i="6"/>
  <c r="C161" i="6" s="1"/>
  <c r="G18" i="6"/>
  <c r="H18" i="6" s="1"/>
  <c r="G17" i="6"/>
  <c r="C159" i="6" s="1"/>
  <c r="G16" i="6"/>
  <c r="H16" i="6" s="1"/>
  <c r="B1" i="6"/>
  <c r="B2" i="6" s="1"/>
  <c r="E21" i="16" l="1"/>
  <c r="C153" i="16"/>
  <c r="C158" i="16"/>
  <c r="H17" i="16"/>
  <c r="H19" i="16"/>
  <c r="F21" i="16"/>
  <c r="D153" i="16"/>
  <c r="C160" i="16"/>
  <c r="E21" i="15"/>
  <c r="C153" i="15"/>
  <c r="C158" i="15"/>
  <c r="H17" i="15"/>
  <c r="H19" i="15"/>
  <c r="F21" i="15"/>
  <c r="D153" i="15"/>
  <c r="C160" i="15"/>
  <c r="C153" i="14"/>
  <c r="D153" i="14"/>
  <c r="C158" i="14"/>
  <c r="C159" i="14"/>
  <c r="E153" i="14"/>
  <c r="C160" i="14"/>
  <c r="H19" i="14"/>
  <c r="F21" i="14"/>
  <c r="B3" i="13"/>
  <c r="E21" i="13"/>
  <c r="C153" i="13"/>
  <c r="C158" i="13"/>
  <c r="H17" i="13"/>
  <c r="H19" i="13"/>
  <c r="F21" i="13"/>
  <c r="D153" i="13"/>
  <c r="C160" i="13"/>
  <c r="B3" i="11"/>
  <c r="C153" i="11"/>
  <c r="C158" i="11"/>
  <c r="H17" i="11"/>
  <c r="H19" i="11"/>
  <c r="F21" i="11"/>
  <c r="D153" i="11"/>
  <c r="E153" i="11"/>
  <c r="C160" i="11"/>
  <c r="C153" i="10"/>
  <c r="D153" i="10"/>
  <c r="E21" i="10"/>
  <c r="H19" i="10"/>
  <c r="F21" i="10"/>
  <c r="C160" i="10"/>
  <c r="H17" i="10"/>
  <c r="C153" i="9"/>
  <c r="D153" i="9"/>
  <c r="B3" i="9"/>
  <c r="C158" i="9"/>
  <c r="E21" i="9"/>
  <c r="C159" i="9"/>
  <c r="C160" i="9"/>
  <c r="H19" i="9"/>
  <c r="F21" i="9"/>
  <c r="B3" i="8"/>
  <c r="C153" i="8"/>
  <c r="D153" i="8"/>
  <c r="C158" i="8"/>
  <c r="E21" i="8"/>
  <c r="H19" i="8"/>
  <c r="F21" i="8"/>
  <c r="C159" i="8"/>
  <c r="C160" i="8"/>
  <c r="E21" i="7"/>
  <c r="C153" i="7"/>
  <c r="C158" i="7"/>
  <c r="H17" i="7"/>
  <c r="H19" i="7"/>
  <c r="F21" i="7"/>
  <c r="D153" i="7"/>
  <c r="C160" i="7"/>
  <c r="B3" i="6"/>
  <c r="E21" i="6"/>
  <c r="C153" i="6"/>
  <c r="C158" i="6"/>
  <c r="H17" i="6"/>
  <c r="H19" i="6"/>
  <c r="F21" i="6"/>
  <c r="D153" i="6"/>
  <c r="C160" i="6"/>
  <c r="F12" i="5"/>
  <c r="F13" i="5"/>
  <c r="F14" i="5"/>
  <c r="F15" i="5"/>
  <c r="F16" i="5"/>
  <c r="F17" i="5"/>
  <c r="F18" i="5"/>
  <c r="F19" i="5"/>
  <c r="B4" i="16" l="1"/>
  <c r="B4" i="15"/>
  <c r="B4" i="14"/>
  <c r="B4" i="13"/>
  <c r="B4" i="11"/>
  <c r="B4" i="10"/>
  <c r="B4" i="9"/>
  <c r="B4" i="8"/>
  <c r="B4" i="7"/>
  <c r="B4" i="6"/>
  <c r="D19" i="5"/>
  <c r="C19" i="5"/>
  <c r="B19" i="5"/>
  <c r="D18" i="5"/>
  <c r="C18" i="5"/>
  <c r="B18" i="5"/>
  <c r="D17" i="5"/>
  <c r="C17" i="5"/>
  <c r="B17" i="5"/>
  <c r="D16" i="5"/>
  <c r="C16" i="5"/>
  <c r="B16" i="5"/>
  <c r="D15" i="5"/>
  <c r="C15" i="5"/>
  <c r="B15" i="5"/>
  <c r="D14" i="5"/>
  <c r="C14" i="5"/>
  <c r="B14" i="5"/>
  <c r="D13" i="5"/>
  <c r="C13" i="5"/>
  <c r="B13" i="5"/>
  <c r="D12" i="5"/>
  <c r="C12" i="5"/>
  <c r="B12" i="5"/>
  <c r="B11" i="5"/>
  <c r="D11" i="5"/>
  <c r="C11" i="5"/>
  <c r="B10" i="5"/>
  <c r="C10" i="5"/>
  <c r="D10" i="5"/>
  <c r="D9" i="5"/>
  <c r="C9" i="5"/>
  <c r="B9" i="5"/>
  <c r="C8" i="5"/>
  <c r="D8" i="5"/>
  <c r="B8" i="5"/>
  <c r="B7" i="5"/>
  <c r="D7" i="5"/>
  <c r="C7" i="5"/>
  <c r="D6" i="5"/>
  <c r="C6" i="5"/>
  <c r="B6" i="5"/>
  <c r="D5" i="5"/>
  <c r="C5" i="5"/>
  <c r="B5" i="5"/>
  <c r="F11" i="5" l="1"/>
  <c r="F10" i="5"/>
  <c r="F9" i="5"/>
  <c r="F8" i="5"/>
  <c r="F7" i="5"/>
  <c r="F6" i="5"/>
  <c r="F5" i="5"/>
  <c r="D20" i="1"/>
  <c r="E20" i="1"/>
  <c r="F20" i="1"/>
  <c r="C20" i="1"/>
  <c r="G17" i="1"/>
  <c r="G18" i="1"/>
  <c r="G19" i="1"/>
  <c r="G16" i="1"/>
  <c r="B1" i="1"/>
  <c r="B2" i="1" s="1"/>
  <c r="G66" i="1"/>
  <c r="J66" i="1" s="1"/>
  <c r="G58" i="1"/>
  <c r="J58" i="1" s="1"/>
  <c r="G50" i="1"/>
  <c r="J50" i="1" s="1"/>
  <c r="G42" i="1"/>
  <c r="J42" i="1" s="1"/>
  <c r="G146" i="1"/>
  <c r="J146" i="1" s="1"/>
  <c r="G138" i="1"/>
  <c r="J138" i="1" s="1"/>
  <c r="G130" i="1"/>
  <c r="J130" i="1" s="1"/>
  <c r="G122" i="1"/>
  <c r="J122" i="1" s="1"/>
  <c r="G114" i="1"/>
  <c r="J114" i="1" s="1"/>
  <c r="G106" i="1"/>
  <c r="J106" i="1" s="1"/>
  <c r="G98" i="1"/>
  <c r="J98" i="1" s="1"/>
  <c r="G90" i="1"/>
  <c r="J90" i="1" s="1"/>
  <c r="G82" i="1"/>
  <c r="J82" i="1" s="1"/>
  <c r="G74" i="1"/>
  <c r="J74" i="1" s="1"/>
  <c r="G34" i="1"/>
  <c r="J34" i="1" s="1"/>
  <c r="E28" i="1"/>
  <c r="C28" i="1"/>
  <c r="D28" i="1"/>
  <c r="F27" i="1"/>
  <c r="F25" i="1"/>
  <c r="F26" i="1"/>
  <c r="D4" i="5"/>
  <c r="C158" i="1" l="1"/>
  <c r="H16" i="1"/>
  <c r="C153" i="1"/>
  <c r="C21" i="1"/>
  <c r="C161" i="1"/>
  <c r="H19" i="1"/>
  <c r="F153" i="1"/>
  <c r="F21" i="1"/>
  <c r="C160" i="1"/>
  <c r="H18" i="1"/>
  <c r="E153" i="1"/>
  <c r="E21" i="1"/>
  <c r="C159" i="1"/>
  <c r="H17" i="1"/>
  <c r="D153" i="1"/>
  <c r="D21" i="1"/>
  <c r="D27" i="1"/>
  <c r="C27" i="1"/>
  <c r="C26" i="1"/>
  <c r="E26" i="1"/>
  <c r="E25" i="1"/>
  <c r="D25" i="1"/>
  <c r="B4" i="1" l="1"/>
  <c r="B3" i="1"/>
  <c r="C4" i="5"/>
  <c r="B4" i="5"/>
  <c r="F4" i="5" l="1"/>
  <c r="F2" i="5" s="1"/>
  <c r="E7" i="5" l="1"/>
  <c r="E5" i="5"/>
  <c r="E14" i="5"/>
  <c r="E8" i="5"/>
  <c r="E10" i="5"/>
  <c r="E17" i="5"/>
  <c r="E6" i="5"/>
  <c r="E12" i="5"/>
  <c r="E13" i="5"/>
  <c r="E9" i="5"/>
  <c r="E18" i="5"/>
  <c r="E16" i="5"/>
  <c r="E15" i="5"/>
  <c r="E11" i="5"/>
  <c r="E19" i="5"/>
  <c r="E4" i="5"/>
</calcChain>
</file>

<file path=xl/sharedStrings.xml><?xml version="1.0" encoding="utf-8"?>
<sst xmlns="http://schemas.openxmlformats.org/spreadsheetml/2006/main" count="1109" uniqueCount="37">
  <si>
    <t>Objective Function</t>
  </si>
  <si>
    <t>Decision Variables</t>
  </si>
  <si>
    <t>Constraints</t>
  </si>
  <si>
    <t>Bound</t>
  </si>
  <si>
    <t>red font indicates variables fixed to a particular value</t>
  </si>
  <si>
    <t>Problem</t>
  </si>
  <si>
    <t>Upper Bound</t>
  </si>
  <si>
    <t>Fathom Branch?</t>
  </si>
  <si>
    <t>Max. Feasible Soln.</t>
  </si>
  <si>
    <t>Feasible Binary Solutions</t>
  </si>
  <si>
    <t>Original</t>
  </si>
  <si>
    <t>To</t>
  </si>
  <si>
    <t>From</t>
  </si>
  <si>
    <t>Decision Variables Integality</t>
  </si>
  <si>
    <t>,</t>
  </si>
  <si>
    <t>=</t>
  </si>
  <si>
    <t>Round Trips with 2 Links are not Feasible</t>
  </si>
  <si>
    <t>≤</t>
  </si>
  <si>
    <t>This is a traveling salesman problem. This represents 4 items that need to be painted at an industrial paint station and a sequence must be found starting at one color and ending in that same color such that total changeover time over the cycle is minimized.  The changeover time between items depends on the colors before and after the changover.  Some colors are more difficult to clean from the the spray equipment and more likley to cause the next color to be "off color," such as when red paint is followed by white paint.</t>
  </si>
  <si>
    <t>Round Trips with 3 Links are not Feasible</t>
  </si>
  <si>
    <t>Must be 4 Links in a round Trip</t>
  </si>
  <si>
    <t>Objective Function Coefficients (Changeover Time)</t>
  </si>
  <si>
    <t>Constraint Feasible?</t>
  </si>
  <si>
    <t>Binary Feasible?</t>
  </si>
  <si>
    <t>BIP Feasible?</t>
  </si>
  <si>
    <t>Constraints Feasible?</t>
  </si>
  <si>
    <t>"To" Constraints</t>
  </si>
  <si>
    <t>"From" Constraints</t>
  </si>
  <si>
    <t>00xx</t>
  </si>
  <si>
    <t>01xx</t>
  </si>
  <si>
    <t>010x</t>
  </si>
  <si>
    <t>00xxVert</t>
  </si>
  <si>
    <t>011xfail</t>
  </si>
  <si>
    <t>0101fail</t>
  </si>
  <si>
    <t>Pass0100</t>
  </si>
  <si>
    <t>SOLUTION</t>
  </si>
  <si>
    <t>Optimal Objective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</si>
</sst>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2"/>
      <color theme="1"/>
      <name val="Times New Roman"/>
      <family val="2"/>
    </font>
    <font>
      <sz val="12"/>
      <color rgb="FFFF0000"/>
      <name val="Times New Roman"/>
      <family val="2"/>
    </font>
    <font>
      <sz val="12"/>
      <color theme="1"/>
      <name val="Times New Roman"/>
      <family val="1"/>
    </font>
    <font>
      <b/>
      <sz val="12"/>
      <color theme="1"/>
      <name val="Times New Roman"/>
      <family val="1"/>
    </font>
  </fonts>
  <fills count="5">
    <fill>
      <patternFill patternType="none"/>
    </fill>
    <fill>
      <patternFill patternType="gray125"/>
    </fill>
    <fill>
      <patternFill patternType="lightUp"/>
    </fill>
    <fill>
      <patternFill patternType="solid">
        <fgColor indexed="65"/>
        <bgColor indexed="64"/>
      </patternFill>
    </fill>
    <fill>
      <patternFill patternType="solid">
        <fgColor rgb="FFFFFF0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s>
  <cellStyleXfs count="1">
    <xf numFmtId="0" fontId="0" fillId="0" borderId="0"/>
  </cellStyleXfs>
  <cellXfs count="49">
    <xf numFmtId="0" fontId="0" fillId="0" borderId="0" xfId="0"/>
    <xf numFmtId="0" fontId="0" fillId="0" borderId="1" xfId="0" applyBorder="1"/>
    <xf numFmtId="0" fontId="0" fillId="0" borderId="1" xfId="0" applyBorder="1" applyAlignment="1">
      <alignment horizontal="center" wrapText="1"/>
    </xf>
    <xf numFmtId="0" fontId="0" fillId="0" borderId="0" xfId="0" applyBorder="1" applyAlignment="1">
      <alignment horizontal="center" wrapText="1"/>
    </xf>
    <xf numFmtId="0" fontId="0" fillId="0" borderId="0" xfId="0" applyBorder="1"/>
    <xf numFmtId="0" fontId="0" fillId="0" borderId="1" xfId="0" applyBorder="1" applyAlignment="1">
      <alignment horizontal="center" vertical="center" wrapText="1"/>
    </xf>
    <xf numFmtId="0" fontId="0" fillId="0" borderId="1" xfId="0" applyBorder="1" applyAlignment="1">
      <alignment vertical="center"/>
    </xf>
    <xf numFmtId="0" fontId="1" fillId="0" borderId="0" xfId="0" applyFont="1"/>
    <xf numFmtId="0" fontId="3" fillId="0" borderId="1" xfId="0" applyFont="1" applyBorder="1" applyAlignment="1">
      <alignment horizontal="center"/>
    </xf>
    <xf numFmtId="0" fontId="3" fillId="0" borderId="1" xfId="0" applyFont="1" applyFill="1" applyBorder="1" applyAlignment="1">
      <alignment horizontal="center" wrapText="1"/>
    </xf>
    <xf numFmtId="0" fontId="2" fillId="0" borderId="2" xfId="0" applyFont="1" applyBorder="1" applyAlignment="1">
      <alignment horizontal="center"/>
    </xf>
    <xf numFmtId="0" fontId="0" fillId="2" borderId="1" xfId="0" applyFill="1" applyBorder="1"/>
    <xf numFmtId="0" fontId="0" fillId="0" borderId="0" xfId="0" applyBorder="1" applyAlignment="1">
      <alignment horizontal="center" vertical="center" textRotation="90" wrapText="1"/>
    </xf>
    <xf numFmtId="0" fontId="2" fillId="0" borderId="0" xfId="0" applyFont="1" applyFill="1" applyBorder="1" applyAlignment="1">
      <alignment horizontal="center"/>
    </xf>
    <xf numFmtId="0" fontId="0" fillId="0" borderId="0" xfId="0" applyFill="1" applyBorder="1"/>
    <xf numFmtId="0" fontId="0" fillId="3" borderId="0" xfId="0" applyFill="1" applyBorder="1"/>
    <xf numFmtId="0" fontId="2" fillId="0" borderId="0" xfId="0" applyFont="1" applyBorder="1" applyAlignment="1">
      <alignment horizontal="center"/>
    </xf>
    <xf numFmtId="0" fontId="2" fillId="0" borderId="0" xfId="0" applyFont="1" applyBorder="1"/>
    <xf numFmtId="0" fontId="0" fillId="3" borderId="1" xfId="0" applyFill="1" applyBorder="1"/>
    <xf numFmtId="0" fontId="0" fillId="0" borderId="1" xfId="0" applyFill="1" applyBorder="1"/>
    <xf numFmtId="0" fontId="2" fillId="0" borderId="1" xfId="0" applyFont="1" applyBorder="1" applyAlignment="1">
      <alignment horizontal="center"/>
    </xf>
    <xf numFmtId="0" fontId="0" fillId="0" borderId="0" xfId="0" applyBorder="1" applyAlignment="1">
      <alignment horizontal="center" vertical="center" wrapText="1"/>
    </xf>
    <xf numFmtId="0" fontId="0" fillId="0" borderId="4" xfId="0" applyBorder="1"/>
    <xf numFmtId="0" fontId="0" fillId="0" borderId="4" xfId="0" applyFill="1" applyBorder="1"/>
    <xf numFmtId="0" fontId="2" fillId="0" borderId="5" xfId="0" applyFont="1" applyBorder="1" applyAlignment="1">
      <alignment horizontal="center"/>
    </xf>
    <xf numFmtId="0" fontId="2" fillId="0" borderId="3" xfId="0" applyFont="1" applyBorder="1" applyAlignment="1">
      <alignment horizontal="center"/>
    </xf>
    <xf numFmtId="0" fontId="0" fillId="0" borderId="1" xfId="0" applyBorder="1" applyAlignment="1">
      <alignment horizontal="center" wrapText="1"/>
    </xf>
    <xf numFmtId="0" fontId="0" fillId="0" borderId="0" xfId="0" applyBorder="1" applyAlignment="1">
      <alignment horizontal="left" vertical="center" wrapText="1"/>
    </xf>
    <xf numFmtId="0" fontId="0" fillId="0" borderId="6" xfId="0" applyBorder="1"/>
    <xf numFmtId="0" fontId="0" fillId="0" borderId="5" xfId="0" applyBorder="1"/>
    <xf numFmtId="0" fontId="3" fillId="0" borderId="1" xfId="0" applyFont="1" applyBorder="1" applyAlignment="1">
      <alignment horizontal="center" wrapText="1"/>
    </xf>
    <xf numFmtId="0" fontId="0" fillId="0" borderId="1" xfId="0" applyBorder="1" applyAlignment="1">
      <alignment horizontal="center"/>
    </xf>
    <xf numFmtId="0" fontId="0" fillId="0" borderId="1" xfId="0" applyBorder="1" applyAlignment="1">
      <alignment horizontal="center" wrapText="1"/>
    </xf>
    <xf numFmtId="0" fontId="2" fillId="0" borderId="0" xfId="0" applyFont="1" applyBorder="1" applyAlignment="1">
      <alignment horizontal="center"/>
    </xf>
    <xf numFmtId="0" fontId="0" fillId="0" borderId="1" xfId="0" applyBorder="1" applyAlignment="1">
      <alignment horizontal="center"/>
    </xf>
    <xf numFmtId="0" fontId="0" fillId="0" borderId="0" xfId="0" applyBorder="1" applyAlignment="1">
      <alignment horizontal="center" vertical="center" wrapText="1"/>
    </xf>
    <xf numFmtId="0" fontId="0" fillId="0" borderId="1" xfId="0" applyBorder="1" applyAlignment="1">
      <alignment horizontal="center" vertical="center" textRotation="90" wrapText="1"/>
    </xf>
    <xf numFmtId="0" fontId="2" fillId="0" borderId="0"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wrapText="1"/>
    </xf>
    <xf numFmtId="0" fontId="0" fillId="0" borderId="2" xfId="0" applyBorder="1" applyAlignment="1">
      <alignment horizontal="center" wrapText="1"/>
    </xf>
    <xf numFmtId="0" fontId="0" fillId="0" borderId="1" xfId="0" applyBorder="1" applyAlignment="1">
      <alignment horizontal="left" vertical="center" wrapText="1"/>
    </xf>
    <xf numFmtId="0" fontId="0" fillId="0" borderId="0" xfId="0" applyBorder="1" applyAlignment="1">
      <alignment horizontal="center" vertical="center" wrapText="1"/>
    </xf>
    <xf numFmtId="0" fontId="1" fillId="0" borderId="1" xfId="0" applyFont="1" applyBorder="1"/>
    <xf numFmtId="0" fontId="0" fillId="4" borderId="0" xfId="0" applyFill="1"/>
    <xf numFmtId="0" fontId="0" fillId="4" borderId="1" xfId="0" applyFill="1" applyBorder="1" applyAlignment="1">
      <alignment horizontal="center" wrapText="1"/>
    </xf>
    <xf numFmtId="0" fontId="0" fillId="4" borderId="2" xfId="0" applyFill="1" applyBorder="1" applyAlignment="1">
      <alignment horizontal="center" wrapText="1"/>
    </xf>
    <xf numFmtId="0" fontId="0" fillId="4" borderId="1" xfId="0" applyFill="1" applyBorder="1" applyAlignment="1">
      <alignment horizontal="center" vertical="center" textRotation="90" wrapText="1"/>
    </xf>
    <xf numFmtId="0" fontId="0" fillId="4" borderId="1" xfId="0" applyFill="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190500</xdr:colOff>
          <xdr:row>2</xdr:row>
          <xdr:rowOff>163830</xdr:rowOff>
        </xdr:from>
        <xdr:to>
          <xdr:col>7</xdr:col>
          <xdr:colOff>129540</xdr:colOff>
          <xdr:row>3</xdr:row>
          <xdr:rowOff>160020</xdr:rowOff>
        </xdr:to>
        <xdr:sp macro="" textlink="">
          <xdr:nvSpPr>
            <xdr:cNvPr id="3073" name="btnUpdate"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9"/>
  <sheetViews>
    <sheetView tabSelected="1" workbookViewId="0">
      <selection activeCell="G12" sqref="G12"/>
    </sheetView>
  </sheetViews>
  <sheetFormatPr defaultRowHeight="15.3" x14ac:dyDescent="0.55000000000000004"/>
  <cols>
    <col min="1" max="1" width="9.25" customWidth="1"/>
    <col min="2" max="2" width="8.84765625" bestFit="1" customWidth="1"/>
    <col min="3" max="3" width="10.84765625" customWidth="1"/>
    <col min="4" max="4" width="11.84765625" bestFit="1" customWidth="1"/>
    <col min="5" max="5" width="14.75" bestFit="1" customWidth="1"/>
    <col min="6" max="6" width="17.75" bestFit="1" customWidth="1"/>
    <col min="11" max="11" width="20.6484375" bestFit="1" customWidth="1"/>
  </cols>
  <sheetData>
    <row r="1" spans="1:16" x14ac:dyDescent="0.55000000000000004">
      <c r="F1" s="8" t="s">
        <v>8</v>
      </c>
    </row>
    <row r="2" spans="1:16" x14ac:dyDescent="0.55000000000000004">
      <c r="F2" s="1">
        <f ca="1">IF(MIN(F4:F19)=0,"",MAX(F4:F19))</f>
        <v>39</v>
      </c>
    </row>
    <row r="3" spans="1:16" ht="30.3" x14ac:dyDescent="0.55000000000000004">
      <c r="A3" s="8" t="s">
        <v>5</v>
      </c>
      <c r="B3" s="30" t="s">
        <v>24</v>
      </c>
      <c r="C3" s="30" t="s">
        <v>25</v>
      </c>
      <c r="D3" s="8" t="s">
        <v>6</v>
      </c>
      <c r="E3" s="8" t="s">
        <v>7</v>
      </c>
      <c r="F3" s="9" t="s">
        <v>9</v>
      </c>
    </row>
    <row r="4" spans="1:16" x14ac:dyDescent="0.55000000000000004">
      <c r="A4" s="1" t="s">
        <v>10</v>
      </c>
      <c r="B4" s="1" t="b">
        <f ca="1">IF(A4&lt;&gt;"",INDIRECT(A4&amp;"!Feasible"),"")</f>
        <v>0</v>
      </c>
      <c r="C4" s="1" t="b">
        <f ca="1">IF(A4&lt;&gt;"",INDIRECT(A4&amp;"!ConstraintsFeasible"),"")</f>
        <v>1</v>
      </c>
      <c r="D4" s="1">
        <f ca="1">IF(A4&lt;&gt;"",INDIRECT(A4&amp;"!Bound"),"")</f>
        <v>38</v>
      </c>
      <c r="E4" s="1" t="str">
        <f ca="1">IF($F$2="","",IF(A4="","",IF(OR(D4&lt;$F$2,NOT(C4)),"Yes","")))</f>
        <v>Yes</v>
      </c>
      <c r="F4" s="1" t="str">
        <f ca="1">IF(A4&lt;&gt;"",IF(AND(B4,C4),D4,""),"")</f>
        <v/>
      </c>
      <c r="K4" s="44" t="s">
        <v>35</v>
      </c>
    </row>
    <row r="5" spans="1:16" x14ac:dyDescent="0.55000000000000004">
      <c r="A5" s="1" t="s">
        <v>28</v>
      </c>
      <c r="B5" s="1" t="b">
        <f t="shared" ref="B5:B19" ca="1" si="0">IF(A5&lt;&gt;"",INDIRECT(A5&amp;"!Feasible"),"")</f>
        <v>1</v>
      </c>
      <c r="C5" s="1" t="b">
        <f t="shared" ref="C5:C19" ca="1" si="1">IF(A5&lt;&gt;"",INDIRECT(A5&amp;"!ConstraintsFeasible"),"")</f>
        <v>1</v>
      </c>
      <c r="D5" s="1">
        <f t="shared" ref="D5:D19" ca="1" si="2">IF(A5&lt;&gt;"",INDIRECT(A5&amp;"!Bound"),"")</f>
        <v>38</v>
      </c>
      <c r="E5" s="1" t="str">
        <f t="shared" ref="E5:E19" ca="1" si="3">IF($F$2="","",IF(A5="","",IF(OR(D5&lt;$F$2,NOT(C5)),"Yes","")))</f>
        <v>Yes</v>
      </c>
      <c r="F5" s="1">
        <f t="shared" ref="F5:F19" ca="1" si="4">IF(A5&lt;&gt;"",IF(AND(B5,C5),D5,""),"")</f>
        <v>38</v>
      </c>
    </row>
    <row r="6" spans="1:16" x14ac:dyDescent="0.55000000000000004">
      <c r="A6" s="1" t="s">
        <v>29</v>
      </c>
      <c r="B6" s="1" t="b">
        <f t="shared" ca="1" si="0"/>
        <v>1</v>
      </c>
      <c r="C6" s="1" t="b">
        <f t="shared" ca="1" si="1"/>
        <v>1</v>
      </c>
      <c r="D6" s="1">
        <f t="shared" ca="1" si="2"/>
        <v>39</v>
      </c>
      <c r="E6" s="1" t="str">
        <f t="shared" ca="1" si="3"/>
        <v/>
      </c>
      <c r="F6" s="1">
        <f t="shared" ca="1" si="4"/>
        <v>39</v>
      </c>
      <c r="K6" s="44" t="s">
        <v>36</v>
      </c>
      <c r="L6">
        <v>39</v>
      </c>
    </row>
    <row r="7" spans="1:16" x14ac:dyDescent="0.55000000000000004">
      <c r="A7" s="1" t="s">
        <v>30</v>
      </c>
      <c r="B7" s="1" t="b">
        <f t="shared" ca="1" si="0"/>
        <v>1</v>
      </c>
      <c r="C7" s="1" t="b">
        <f t="shared" ca="1" si="1"/>
        <v>1</v>
      </c>
      <c r="D7" s="1">
        <f t="shared" ca="1" si="2"/>
        <v>39</v>
      </c>
      <c r="E7" s="1" t="str">
        <f t="shared" ca="1" si="3"/>
        <v/>
      </c>
      <c r="F7" s="1">
        <f t="shared" ca="1" si="4"/>
        <v>39</v>
      </c>
    </row>
    <row r="8" spans="1:16" x14ac:dyDescent="0.55000000000000004">
      <c r="A8" s="1" t="s">
        <v>32</v>
      </c>
      <c r="B8" s="1" t="b">
        <f t="shared" ca="1" si="0"/>
        <v>1</v>
      </c>
      <c r="C8" s="1" t="b">
        <f t="shared" ca="1" si="1"/>
        <v>0</v>
      </c>
      <c r="D8" s="1">
        <f t="shared" ca="1" si="2"/>
        <v>36</v>
      </c>
      <c r="E8" s="1" t="str">
        <f t="shared" ca="1" si="3"/>
        <v>Yes</v>
      </c>
      <c r="F8" s="1" t="str">
        <f t="shared" ca="1" si="4"/>
        <v/>
      </c>
      <c r="K8" s="45" t="s">
        <v>1</v>
      </c>
      <c r="L8" s="44"/>
      <c r="M8" s="48" t="s">
        <v>11</v>
      </c>
      <c r="N8" s="48"/>
      <c r="O8" s="48"/>
      <c r="P8" s="48"/>
    </row>
    <row r="9" spans="1:16" x14ac:dyDescent="0.55000000000000004">
      <c r="A9" s="1" t="s">
        <v>34</v>
      </c>
      <c r="B9" s="1" t="b">
        <f t="shared" ca="1" si="0"/>
        <v>1</v>
      </c>
      <c r="C9" s="1" t="b">
        <f t="shared" ca="1" si="1"/>
        <v>1</v>
      </c>
      <c r="D9" s="1">
        <f t="shared" ca="1" si="2"/>
        <v>39</v>
      </c>
      <c r="E9" s="1" t="str">
        <f t="shared" ca="1" si="3"/>
        <v/>
      </c>
      <c r="F9" s="1">
        <f t="shared" ca="1" si="4"/>
        <v>39</v>
      </c>
      <c r="K9" s="46"/>
      <c r="M9" s="24">
        <v>1</v>
      </c>
      <c r="N9" s="24">
        <v>2</v>
      </c>
      <c r="O9" s="24">
        <v>3</v>
      </c>
      <c r="P9" s="25">
        <v>4</v>
      </c>
    </row>
    <row r="10" spans="1:16" x14ac:dyDescent="0.55000000000000004">
      <c r="A10" s="1" t="s">
        <v>33</v>
      </c>
      <c r="B10" s="1" t="b">
        <f t="shared" ca="1" si="0"/>
        <v>1</v>
      </c>
      <c r="C10" s="1" t="b">
        <f t="shared" ca="1" si="1"/>
        <v>0</v>
      </c>
      <c r="D10" s="1">
        <f t="shared" ca="1" si="2"/>
        <v>30</v>
      </c>
      <c r="E10" s="1" t="str">
        <f t="shared" ca="1" si="3"/>
        <v>Yes</v>
      </c>
      <c r="F10" s="1" t="str">
        <f t="shared" ca="1" si="4"/>
        <v/>
      </c>
      <c r="K10" s="47" t="s">
        <v>12</v>
      </c>
      <c r="L10" s="22">
        <v>1</v>
      </c>
      <c r="M10" s="11">
        <v>0</v>
      </c>
      <c r="N10" s="43">
        <v>1</v>
      </c>
      <c r="O10" s="43">
        <v>0</v>
      </c>
      <c r="P10" s="43">
        <v>0</v>
      </c>
    </row>
    <row r="11" spans="1:16" x14ac:dyDescent="0.55000000000000004">
      <c r="A11" s="1" t="s">
        <v>31</v>
      </c>
      <c r="B11" s="1" t="b">
        <f t="shared" ca="1" si="0"/>
        <v>1</v>
      </c>
      <c r="C11" s="1" t="b">
        <f t="shared" ca="1" si="1"/>
        <v>1</v>
      </c>
      <c r="D11" s="1">
        <f t="shared" ca="1" si="2"/>
        <v>38</v>
      </c>
      <c r="E11" s="1" t="str">
        <f t="shared" ca="1" si="3"/>
        <v>Yes</v>
      </c>
      <c r="F11" s="1">
        <f t="shared" ca="1" si="4"/>
        <v>38</v>
      </c>
      <c r="K11" s="47"/>
      <c r="L11" s="22">
        <v>2</v>
      </c>
      <c r="M11" s="1">
        <v>0</v>
      </c>
      <c r="N11" s="11">
        <v>0</v>
      </c>
      <c r="O11" s="1">
        <v>1</v>
      </c>
      <c r="P11" s="1">
        <v>0</v>
      </c>
    </row>
    <row r="12" spans="1:16" x14ac:dyDescent="0.55000000000000004">
      <c r="A12" s="1"/>
      <c r="B12" s="1" t="str">
        <f t="shared" ca="1" si="0"/>
        <v/>
      </c>
      <c r="C12" s="1" t="str">
        <f t="shared" ca="1" si="1"/>
        <v/>
      </c>
      <c r="D12" s="1" t="str">
        <f t="shared" ca="1" si="2"/>
        <v/>
      </c>
      <c r="E12" s="1" t="str">
        <f t="shared" ca="1" si="3"/>
        <v/>
      </c>
      <c r="F12" s="1" t="str">
        <f t="shared" si="4"/>
        <v/>
      </c>
      <c r="K12" s="47"/>
      <c r="L12" s="22">
        <v>3</v>
      </c>
      <c r="M12" s="1">
        <v>0</v>
      </c>
      <c r="N12" s="1">
        <v>0</v>
      </c>
      <c r="O12" s="11">
        <v>0</v>
      </c>
      <c r="P12" s="18">
        <v>1</v>
      </c>
    </row>
    <row r="13" spans="1:16" x14ac:dyDescent="0.55000000000000004">
      <c r="A13" s="1"/>
      <c r="B13" s="1" t="str">
        <f t="shared" ca="1" si="0"/>
        <v/>
      </c>
      <c r="C13" s="1" t="str">
        <f t="shared" ca="1" si="1"/>
        <v/>
      </c>
      <c r="D13" s="1" t="str">
        <f t="shared" ca="1" si="2"/>
        <v/>
      </c>
      <c r="E13" s="1" t="str">
        <f t="shared" ca="1" si="3"/>
        <v/>
      </c>
      <c r="F13" s="1" t="str">
        <f t="shared" si="4"/>
        <v/>
      </c>
      <c r="K13" s="47"/>
      <c r="L13" s="23">
        <v>4</v>
      </c>
      <c r="M13" s="1">
        <v>1</v>
      </c>
      <c r="N13" s="1">
        <v>0</v>
      </c>
      <c r="O13" s="18">
        <v>0</v>
      </c>
      <c r="P13" s="11">
        <v>0</v>
      </c>
    </row>
    <row r="14" spans="1:16" x14ac:dyDescent="0.55000000000000004">
      <c r="A14" s="1"/>
      <c r="B14" s="1" t="str">
        <f t="shared" ca="1" si="0"/>
        <v/>
      </c>
      <c r="C14" s="1" t="str">
        <f t="shared" ca="1" si="1"/>
        <v/>
      </c>
      <c r="D14" s="1" t="str">
        <f t="shared" ca="1" si="2"/>
        <v/>
      </c>
      <c r="E14" s="1" t="str">
        <f t="shared" ca="1" si="3"/>
        <v/>
      </c>
      <c r="F14" s="1" t="str">
        <f t="shared" si="4"/>
        <v/>
      </c>
    </row>
    <row r="15" spans="1:16" x14ac:dyDescent="0.55000000000000004">
      <c r="A15" s="1"/>
      <c r="B15" s="1" t="str">
        <f t="shared" ca="1" si="0"/>
        <v/>
      </c>
      <c r="C15" s="1" t="str">
        <f t="shared" ca="1" si="1"/>
        <v/>
      </c>
      <c r="D15" s="1" t="str">
        <f t="shared" ca="1" si="2"/>
        <v/>
      </c>
      <c r="E15" s="1" t="str">
        <f t="shared" ca="1" si="3"/>
        <v/>
      </c>
      <c r="F15" s="1" t="str">
        <f t="shared" si="4"/>
        <v/>
      </c>
    </row>
    <row r="16" spans="1:16" x14ac:dyDescent="0.55000000000000004">
      <c r="A16" s="1"/>
      <c r="B16" s="1" t="str">
        <f t="shared" ca="1" si="0"/>
        <v/>
      </c>
      <c r="C16" s="1" t="str">
        <f t="shared" ca="1" si="1"/>
        <v/>
      </c>
      <c r="D16" s="1" t="str">
        <f t="shared" ca="1" si="2"/>
        <v/>
      </c>
      <c r="E16" s="1" t="str">
        <f t="shared" ca="1" si="3"/>
        <v/>
      </c>
      <c r="F16" s="1" t="str">
        <f t="shared" si="4"/>
        <v/>
      </c>
    </row>
    <row r="17" spans="1:6" x14ac:dyDescent="0.55000000000000004">
      <c r="A17" s="1"/>
      <c r="B17" s="1" t="str">
        <f t="shared" ca="1" si="0"/>
        <v/>
      </c>
      <c r="C17" s="1" t="str">
        <f t="shared" ca="1" si="1"/>
        <v/>
      </c>
      <c r="D17" s="1" t="str">
        <f t="shared" ca="1" si="2"/>
        <v/>
      </c>
      <c r="E17" s="1" t="str">
        <f t="shared" ca="1" si="3"/>
        <v/>
      </c>
      <c r="F17" s="1" t="str">
        <f t="shared" si="4"/>
        <v/>
      </c>
    </row>
    <row r="18" spans="1:6" x14ac:dyDescent="0.55000000000000004">
      <c r="A18" s="1"/>
      <c r="B18" s="1" t="str">
        <f t="shared" ca="1" si="0"/>
        <v/>
      </c>
      <c r="C18" s="1" t="str">
        <f t="shared" ca="1" si="1"/>
        <v/>
      </c>
      <c r="D18" s="1" t="str">
        <f t="shared" ca="1" si="2"/>
        <v/>
      </c>
      <c r="E18" s="1" t="str">
        <f t="shared" ca="1" si="3"/>
        <v/>
      </c>
      <c r="F18" s="1" t="str">
        <f t="shared" si="4"/>
        <v/>
      </c>
    </row>
    <row r="19" spans="1:6" x14ac:dyDescent="0.55000000000000004">
      <c r="A19" s="1"/>
      <c r="B19" s="1" t="str">
        <f t="shared" ca="1" si="0"/>
        <v/>
      </c>
      <c r="C19" s="1" t="str">
        <f t="shared" ca="1" si="1"/>
        <v/>
      </c>
      <c r="D19" s="1" t="str">
        <f t="shared" ca="1" si="2"/>
        <v/>
      </c>
      <c r="E19" s="1" t="str">
        <f t="shared" ca="1" si="3"/>
        <v/>
      </c>
      <c r="F19" s="1" t="str">
        <f t="shared" si="4"/>
        <v/>
      </c>
    </row>
  </sheetData>
  <mergeCells count="3">
    <mergeCell ref="K8:K9"/>
    <mergeCell ref="M8:P8"/>
    <mergeCell ref="K10:K13"/>
  </mergeCells>
  <pageMargins left="0.7" right="0.7" top="0.75" bottom="0.75" header="0.3" footer="0.3"/>
  <pageSetup orientation="portrait" r:id="rId1"/>
  <drawing r:id="rId2"/>
  <legacyDrawing r:id="rId3"/>
  <controls>
    <mc:AlternateContent xmlns:mc="http://schemas.openxmlformats.org/markup-compatibility/2006">
      <mc:Choice Requires="x14">
        <control shapeId="3073" r:id="rId4" name="btnUpdate">
          <controlPr defaultSize="0" autoLine="0" r:id="rId5">
            <anchor moveWithCells="1">
              <from>
                <xdr:col>6</xdr:col>
                <xdr:colOff>190500</xdr:colOff>
                <xdr:row>2</xdr:row>
                <xdr:rowOff>163830</xdr:rowOff>
              </from>
              <to>
                <xdr:col>7</xdr:col>
                <xdr:colOff>129540</xdr:colOff>
                <xdr:row>3</xdr:row>
                <xdr:rowOff>160020</xdr:rowOff>
              </to>
            </anchor>
          </controlPr>
        </control>
      </mc:Choice>
      <mc:Fallback>
        <control shapeId="3073" r:id="rId4"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61"/>
  <sheetViews>
    <sheetView zoomScale="120" zoomScaleNormal="120" workbookViewId="0">
      <selection activeCell="D16" sqref="D16"/>
    </sheetView>
  </sheetViews>
  <sheetFormatPr defaultRowHeight="15.3" x14ac:dyDescent="0.55000000000000004"/>
  <cols>
    <col min="1" max="1" width="17.59765625" customWidth="1"/>
    <col min="2" max="2" width="8.75" customWidth="1"/>
    <col min="5" max="6" width="10.25" customWidth="1"/>
    <col min="7" max="7" width="5" customWidth="1"/>
    <col min="8" max="8" width="6.84765625" customWidth="1"/>
    <col min="9" max="9" width="4.5" customWidth="1"/>
    <col min="12" max="12" width="11.59765625" customWidth="1"/>
  </cols>
  <sheetData>
    <row r="1" spans="1:15" ht="31.5" customHeight="1" x14ac:dyDescent="0.55000000000000004">
      <c r="A1" s="2" t="s">
        <v>0</v>
      </c>
      <c r="B1" s="1">
        <f>SUMPRODUCT(C8:F11,C16:F19)</f>
        <v>38.000000000000007</v>
      </c>
      <c r="D1" s="41" t="s">
        <v>18</v>
      </c>
      <c r="E1" s="41"/>
      <c r="F1" s="41"/>
      <c r="G1" s="41"/>
      <c r="H1" s="41"/>
      <c r="I1" s="41"/>
      <c r="J1" s="41"/>
      <c r="K1" s="41"/>
      <c r="L1" s="41"/>
      <c r="M1" s="41"/>
      <c r="N1" s="41"/>
      <c r="O1" s="41"/>
    </row>
    <row r="2" spans="1:15" ht="23.25" customHeight="1" x14ac:dyDescent="0.55000000000000004">
      <c r="A2" s="2" t="s">
        <v>3</v>
      </c>
      <c r="B2" s="1">
        <f>CEILING(B1,1)</f>
        <v>38</v>
      </c>
      <c r="D2" s="41"/>
      <c r="E2" s="41"/>
      <c r="F2" s="41"/>
      <c r="G2" s="41"/>
      <c r="H2" s="41"/>
      <c r="I2" s="41"/>
      <c r="J2" s="41"/>
      <c r="K2" s="41"/>
      <c r="L2" s="41"/>
      <c r="M2" s="41"/>
      <c r="N2" s="41"/>
      <c r="O2" s="41"/>
    </row>
    <row r="3" spans="1:15" ht="23.25" customHeight="1" x14ac:dyDescent="0.55000000000000004">
      <c r="A3" s="2" t="s">
        <v>23</v>
      </c>
      <c r="B3" s="1" t="b">
        <f>IF(AND(D25,E25,E26,C26,C27,D27,F25,F26,F27,C28,D28,E28),TRUE,FALSE)</f>
        <v>0</v>
      </c>
      <c r="D3" s="41"/>
      <c r="E3" s="41"/>
      <c r="F3" s="41"/>
      <c r="G3" s="41"/>
      <c r="H3" s="41"/>
      <c r="I3" s="41"/>
      <c r="J3" s="41"/>
      <c r="K3" s="41"/>
      <c r="L3" s="41"/>
      <c r="M3" s="41"/>
      <c r="N3" s="41"/>
      <c r="O3" s="41"/>
    </row>
    <row r="4" spans="1:15" ht="23.25" customHeight="1" x14ac:dyDescent="0.55000000000000004">
      <c r="A4" s="26" t="s">
        <v>22</v>
      </c>
      <c r="B4" s="1" t="b">
        <f>AND(H16:H19,C21:F21,J34,J42,J50,J58,J66,J74,J82,J90,J98,J106,J114,J122,J130,J138,J146)</f>
        <v>1</v>
      </c>
      <c r="D4" s="27"/>
      <c r="E4" s="27"/>
      <c r="F4" s="27"/>
      <c r="G4" s="27"/>
      <c r="H4" s="27"/>
      <c r="I4" s="27"/>
      <c r="J4" s="27"/>
      <c r="K4" s="27"/>
      <c r="L4" s="27"/>
      <c r="M4" s="27"/>
      <c r="N4" s="27"/>
      <c r="O4" s="27"/>
    </row>
    <row r="5" spans="1:15" x14ac:dyDescent="0.55000000000000004">
      <c r="A5" s="3"/>
      <c r="B5" s="4"/>
    </row>
    <row r="6" spans="1:15" ht="31.5" customHeight="1" x14ac:dyDescent="0.55000000000000004">
      <c r="A6" s="42" t="s">
        <v>21</v>
      </c>
      <c r="B6" s="42"/>
      <c r="C6" s="38" t="s">
        <v>11</v>
      </c>
      <c r="D6" s="38"/>
      <c r="E6" s="38"/>
      <c r="F6" s="38"/>
    </row>
    <row r="7" spans="1:15" x14ac:dyDescent="0.55000000000000004">
      <c r="A7" s="4"/>
      <c r="B7" s="21"/>
      <c r="C7" s="6">
        <v>1</v>
      </c>
      <c r="D7" s="6">
        <v>2</v>
      </c>
      <c r="E7" s="6">
        <v>3</v>
      </c>
      <c r="F7" s="6">
        <v>4</v>
      </c>
    </row>
    <row r="8" spans="1:15" x14ac:dyDescent="0.55000000000000004">
      <c r="A8" s="36" t="s">
        <v>12</v>
      </c>
      <c r="B8" s="5">
        <v>1</v>
      </c>
      <c r="C8" s="11"/>
      <c r="D8" s="6">
        <v>9.5</v>
      </c>
      <c r="E8" s="6">
        <v>12</v>
      </c>
      <c r="F8" s="6">
        <v>10</v>
      </c>
    </row>
    <row r="9" spans="1:15" x14ac:dyDescent="0.55000000000000004">
      <c r="A9" s="36"/>
      <c r="B9" s="5">
        <v>2</v>
      </c>
      <c r="C9" s="6">
        <v>6</v>
      </c>
      <c r="D9" s="11"/>
      <c r="E9" s="6">
        <v>10</v>
      </c>
      <c r="F9" s="6">
        <v>14</v>
      </c>
    </row>
    <row r="10" spans="1:15" x14ac:dyDescent="0.55000000000000004">
      <c r="A10" s="36"/>
      <c r="B10" s="5">
        <v>3</v>
      </c>
      <c r="C10" s="6">
        <v>10</v>
      </c>
      <c r="D10" s="6">
        <v>11</v>
      </c>
      <c r="E10" s="11"/>
      <c r="F10" s="6">
        <v>12</v>
      </c>
    </row>
    <row r="11" spans="1:15" x14ac:dyDescent="0.55000000000000004">
      <c r="A11" s="36"/>
      <c r="B11" s="5">
        <v>4</v>
      </c>
      <c r="C11" s="6">
        <v>7</v>
      </c>
      <c r="D11" s="6">
        <v>8</v>
      </c>
      <c r="E11" s="6">
        <v>15</v>
      </c>
      <c r="F11" s="11"/>
    </row>
    <row r="12" spans="1:15" x14ac:dyDescent="0.55000000000000004">
      <c r="A12" s="3"/>
      <c r="B12" s="4"/>
    </row>
    <row r="13" spans="1:15" x14ac:dyDescent="0.55000000000000004">
      <c r="A13" s="7" t="s">
        <v>4</v>
      </c>
    </row>
    <row r="14" spans="1:15" x14ac:dyDescent="0.55000000000000004">
      <c r="A14" s="39" t="s">
        <v>1</v>
      </c>
      <c r="C14" s="38" t="s">
        <v>11</v>
      </c>
      <c r="D14" s="38"/>
      <c r="E14" s="38"/>
      <c r="F14" s="38"/>
    </row>
    <row r="15" spans="1:15" x14ac:dyDescent="0.55000000000000004">
      <c r="A15" s="40"/>
      <c r="C15" s="24">
        <v>1</v>
      </c>
      <c r="D15" s="24">
        <v>2</v>
      </c>
      <c r="E15" s="24">
        <v>3</v>
      </c>
      <c r="F15" s="25">
        <v>4</v>
      </c>
    </row>
    <row r="16" spans="1:15" x14ac:dyDescent="0.55000000000000004">
      <c r="A16" s="36" t="s">
        <v>12</v>
      </c>
      <c r="B16" s="22">
        <v>1</v>
      </c>
      <c r="C16" s="11">
        <v>0</v>
      </c>
      <c r="D16" s="1">
        <v>0</v>
      </c>
      <c r="E16" s="1">
        <v>0.50000000000000011</v>
      </c>
      <c r="F16" s="1">
        <v>0.5</v>
      </c>
      <c r="G16" s="28">
        <f>SUM(C16:F16)</f>
        <v>1</v>
      </c>
      <c r="H16" s="1" t="b">
        <f>IF(G16=1,TRUE,FALSE)</f>
        <v>1</v>
      </c>
    </row>
    <row r="17" spans="1:9" x14ac:dyDescent="0.55000000000000004">
      <c r="A17" s="36"/>
      <c r="B17" s="22">
        <v>2</v>
      </c>
      <c r="C17" s="1">
        <v>0.50000000000000011</v>
      </c>
      <c r="D17" s="11">
        <v>0</v>
      </c>
      <c r="E17" s="1">
        <v>0.5</v>
      </c>
      <c r="F17" s="1">
        <v>0</v>
      </c>
      <c r="G17" s="28">
        <f t="shared" ref="G17:G19" si="0">SUM(C17:F17)</f>
        <v>1</v>
      </c>
      <c r="H17" s="1" t="b">
        <f t="shared" ref="H17:H19" si="1">IF(G17=1,TRUE,FALSE)</f>
        <v>1</v>
      </c>
    </row>
    <row r="18" spans="1:9" x14ac:dyDescent="0.55000000000000004">
      <c r="A18" s="36"/>
      <c r="B18" s="22">
        <v>3</v>
      </c>
      <c r="C18" s="1">
        <v>2.2204460492503131E-16</v>
      </c>
      <c r="D18" s="1">
        <v>0.50000000000000011</v>
      </c>
      <c r="E18" s="11">
        <v>0</v>
      </c>
      <c r="F18" s="18">
        <v>0.50000000000000022</v>
      </c>
      <c r="G18" s="28">
        <f t="shared" si="0"/>
        <v>1.0000000000000004</v>
      </c>
      <c r="H18" s="1" t="b">
        <f t="shared" si="1"/>
        <v>1</v>
      </c>
    </row>
    <row r="19" spans="1:9" x14ac:dyDescent="0.55000000000000004">
      <c r="A19" s="36"/>
      <c r="B19" s="23">
        <v>4</v>
      </c>
      <c r="C19" s="1">
        <v>0.49999999999999967</v>
      </c>
      <c r="D19" s="1">
        <v>0.50000000000000011</v>
      </c>
      <c r="E19" s="18">
        <v>0</v>
      </c>
      <c r="F19" s="11">
        <v>0</v>
      </c>
      <c r="G19" s="28">
        <f t="shared" si="0"/>
        <v>0.99999999999999978</v>
      </c>
      <c r="H19" s="1" t="b">
        <f t="shared" si="1"/>
        <v>1</v>
      </c>
    </row>
    <row r="20" spans="1:9" x14ac:dyDescent="0.55000000000000004">
      <c r="A20" s="12"/>
      <c r="B20" s="4"/>
      <c r="C20" s="29">
        <f>SUM(C16:C19)</f>
        <v>1</v>
      </c>
      <c r="D20" s="29">
        <f t="shared" ref="D20:F20" si="2">SUM(D16:D19)</f>
        <v>1.0000000000000002</v>
      </c>
      <c r="E20" s="29">
        <f t="shared" si="2"/>
        <v>1</v>
      </c>
      <c r="F20" s="29">
        <f t="shared" si="2"/>
        <v>1.0000000000000002</v>
      </c>
    </row>
    <row r="21" spans="1:9" x14ac:dyDescent="0.55000000000000004">
      <c r="A21" s="12"/>
      <c r="B21" s="4"/>
      <c r="C21" s="1" t="b">
        <f>IF(C20=1,TRUE,FALSE)</f>
        <v>1</v>
      </c>
      <c r="D21" s="1" t="b">
        <f t="shared" ref="D21:F21" si="3">IF(D20=1,TRUE,FALSE)</f>
        <v>1</v>
      </c>
      <c r="E21" s="1" t="b">
        <f t="shared" si="3"/>
        <v>1</v>
      </c>
      <c r="F21" s="1" t="b">
        <f t="shared" si="3"/>
        <v>1</v>
      </c>
    </row>
    <row r="22" spans="1:9" x14ac:dyDescent="0.55000000000000004">
      <c r="A22" s="12"/>
      <c r="B22" s="4"/>
      <c r="C22" s="4"/>
      <c r="D22" s="4"/>
      <c r="E22" s="15"/>
      <c r="F22" s="15"/>
    </row>
    <row r="23" spans="1:9" x14ac:dyDescent="0.55000000000000004">
      <c r="A23" s="39" t="s">
        <v>13</v>
      </c>
      <c r="C23" s="38" t="s">
        <v>11</v>
      </c>
      <c r="D23" s="38"/>
      <c r="E23" s="38"/>
      <c r="F23" s="38"/>
    </row>
    <row r="24" spans="1:9" x14ac:dyDescent="0.55000000000000004">
      <c r="A24" s="40"/>
      <c r="C24" s="24">
        <v>1</v>
      </c>
      <c r="D24" s="24">
        <v>2</v>
      </c>
      <c r="E24" s="24">
        <v>3</v>
      </c>
      <c r="F24" s="25">
        <v>4</v>
      </c>
    </row>
    <row r="25" spans="1:9" x14ac:dyDescent="0.55000000000000004">
      <c r="A25" s="36" t="s">
        <v>12</v>
      </c>
      <c r="B25" s="1">
        <v>1</v>
      </c>
      <c r="C25" s="11"/>
      <c r="D25" s="1" t="b">
        <f>IF(D16=FLOOR(D16,1),TRUE,FALSE)</f>
        <v>1</v>
      </c>
      <c r="E25" s="1" t="b">
        <f>IF(E16=FLOOR(E16,1),TRUE,FALSE)</f>
        <v>0</v>
      </c>
      <c r="F25" s="1" t="b">
        <f>IF(F16=FLOOR(F16,1),TRUE,FALSE)</f>
        <v>0</v>
      </c>
    </row>
    <row r="26" spans="1:9" x14ac:dyDescent="0.55000000000000004">
      <c r="A26" s="36"/>
      <c r="B26" s="1">
        <v>2</v>
      </c>
      <c r="C26" s="1" t="b">
        <f>IF(C17=FLOOR(C17,1),TRUE,FALSE)</f>
        <v>0</v>
      </c>
      <c r="D26" s="11"/>
      <c r="E26" s="1" t="b">
        <f>IF(E17=FLOOR(E17,1),TRUE,FALSE)</f>
        <v>0</v>
      </c>
      <c r="F26" s="1" t="b">
        <f>IF(F17=FLOOR(F17,1),TRUE,FALSE)</f>
        <v>1</v>
      </c>
    </row>
    <row r="27" spans="1:9" x14ac:dyDescent="0.55000000000000004">
      <c r="A27" s="36"/>
      <c r="B27" s="1">
        <v>3</v>
      </c>
      <c r="C27" s="1" t="b">
        <f>IF(C18=FLOOR(C18,1),TRUE,FALSE)</f>
        <v>0</v>
      </c>
      <c r="D27" s="1" t="b">
        <f>IF(D18=FLOOR(D18,1),TRUE,FALSE)</f>
        <v>0</v>
      </c>
      <c r="E27" s="11"/>
      <c r="F27" s="1" t="b">
        <f>IF(F18=FLOOR(F18,1),TRUE,FALSE)</f>
        <v>0</v>
      </c>
    </row>
    <row r="28" spans="1:9" ht="15.6" customHeight="1" x14ac:dyDescent="0.55000000000000004">
      <c r="A28" s="36"/>
      <c r="B28" s="19">
        <v>4</v>
      </c>
      <c r="C28" s="1" t="b">
        <f>IF(C19=FLOOR(C19,1),TRUE,FALSE)</f>
        <v>0</v>
      </c>
      <c r="D28" s="1" t="b">
        <f>IF(D19=FLOOR(D19,1),TRUE,FALSE)</f>
        <v>0</v>
      </c>
      <c r="E28" s="1" t="b">
        <f>IF(E19=FLOOR(E19,1),TRUE,FALSE)</f>
        <v>1</v>
      </c>
      <c r="F28" s="11"/>
    </row>
    <row r="29" spans="1:9" x14ac:dyDescent="0.55000000000000004">
      <c r="A29" s="3"/>
      <c r="B29" s="4"/>
      <c r="C29" s="4"/>
      <c r="D29" s="4"/>
    </row>
    <row r="31" spans="1:9" x14ac:dyDescent="0.55000000000000004">
      <c r="A31" t="s">
        <v>2</v>
      </c>
      <c r="B31" s="37" t="s">
        <v>20</v>
      </c>
      <c r="C31" s="37"/>
      <c r="D31" s="37"/>
      <c r="E31" s="37"/>
      <c r="F31" s="16"/>
      <c r="G31" s="13"/>
      <c r="H31" s="13"/>
      <c r="I31" s="4"/>
    </row>
    <row r="32" spans="1:9" x14ac:dyDescent="0.55000000000000004">
      <c r="C32" s="38" t="s">
        <v>11</v>
      </c>
      <c r="D32" s="38"/>
      <c r="E32" s="38"/>
      <c r="F32" s="38"/>
      <c r="G32" s="4"/>
      <c r="H32" s="4"/>
      <c r="I32" s="4"/>
    </row>
    <row r="33" spans="1:10" x14ac:dyDescent="0.55000000000000004">
      <c r="C33" s="10">
        <v>1</v>
      </c>
      <c r="D33" s="10">
        <v>2</v>
      </c>
      <c r="E33" s="10">
        <v>3</v>
      </c>
      <c r="F33" s="20">
        <v>4</v>
      </c>
      <c r="G33" s="4"/>
      <c r="H33" s="4"/>
      <c r="I33" s="4"/>
    </row>
    <row r="34" spans="1:10" x14ac:dyDescent="0.55000000000000004">
      <c r="A34" s="36" t="s">
        <v>12</v>
      </c>
      <c r="B34" s="1">
        <v>1</v>
      </c>
      <c r="C34" s="11" t="s">
        <v>14</v>
      </c>
      <c r="D34" s="1">
        <v>1</v>
      </c>
      <c r="E34" s="1">
        <v>1</v>
      </c>
      <c r="F34" s="1">
        <v>1</v>
      </c>
      <c r="G34" s="4">
        <f>SUMPRODUCT(C34:F37,$C$16:$F$19)</f>
        <v>3.9999999999999996</v>
      </c>
      <c r="H34" s="4" t="s">
        <v>15</v>
      </c>
      <c r="I34" s="14">
        <v>4</v>
      </c>
      <c r="J34" t="b">
        <f>IF(G34=I34,TRUE,FALSE)</f>
        <v>1</v>
      </c>
    </row>
    <row r="35" spans="1:10" x14ac:dyDescent="0.55000000000000004">
      <c r="A35" s="36"/>
      <c r="B35" s="1">
        <v>2</v>
      </c>
      <c r="C35" s="1">
        <v>1</v>
      </c>
      <c r="D35" s="11"/>
      <c r="E35" s="1">
        <v>1</v>
      </c>
      <c r="F35" s="1">
        <v>1</v>
      </c>
      <c r="G35" s="4"/>
      <c r="H35" s="4"/>
      <c r="I35" s="4"/>
    </row>
    <row r="36" spans="1:10" x14ac:dyDescent="0.55000000000000004">
      <c r="A36" s="36"/>
      <c r="B36" s="1">
        <v>3</v>
      </c>
      <c r="C36" s="1">
        <v>1</v>
      </c>
      <c r="D36" s="1">
        <v>1</v>
      </c>
      <c r="E36" s="11"/>
      <c r="F36" s="1">
        <v>1</v>
      </c>
      <c r="G36" s="14"/>
      <c r="H36" s="14"/>
      <c r="I36" s="4"/>
    </row>
    <row r="37" spans="1:10" x14ac:dyDescent="0.55000000000000004">
      <c r="A37" s="36"/>
      <c r="B37" s="19">
        <v>4</v>
      </c>
      <c r="C37" s="1">
        <v>1</v>
      </c>
      <c r="D37" s="1">
        <v>1</v>
      </c>
      <c r="E37" s="11"/>
      <c r="F37" s="1">
        <v>1</v>
      </c>
      <c r="G37" s="14"/>
      <c r="H37" s="14"/>
      <c r="I37" s="4"/>
    </row>
    <row r="38" spans="1:10" x14ac:dyDescent="0.55000000000000004">
      <c r="B38" s="4"/>
      <c r="C38" s="4"/>
      <c r="D38" s="4"/>
      <c r="E38" s="4"/>
      <c r="F38" s="4"/>
      <c r="G38" s="14"/>
      <c r="H38" s="14"/>
      <c r="I38" s="4"/>
    </row>
    <row r="39" spans="1:10" x14ac:dyDescent="0.55000000000000004">
      <c r="B39" s="37" t="s">
        <v>19</v>
      </c>
      <c r="C39" s="37"/>
      <c r="D39" s="37"/>
      <c r="E39" s="37"/>
      <c r="F39" s="16"/>
      <c r="G39" s="14"/>
      <c r="H39" s="14"/>
      <c r="I39" s="4"/>
    </row>
    <row r="40" spans="1:10" x14ac:dyDescent="0.55000000000000004">
      <c r="C40" s="38" t="s">
        <v>11</v>
      </c>
      <c r="D40" s="38"/>
      <c r="E40" s="38"/>
      <c r="F40" s="38"/>
      <c r="G40" s="14"/>
      <c r="H40" s="14"/>
      <c r="I40" s="4"/>
    </row>
    <row r="41" spans="1:10" x14ac:dyDescent="0.55000000000000004">
      <c r="C41" s="10">
        <v>1</v>
      </c>
      <c r="D41" s="10">
        <v>2</v>
      </c>
      <c r="E41" s="10">
        <v>3</v>
      </c>
      <c r="F41" s="20">
        <v>4</v>
      </c>
    </row>
    <row r="42" spans="1:10" x14ac:dyDescent="0.55000000000000004">
      <c r="A42" s="36" t="s">
        <v>12</v>
      </c>
      <c r="B42" s="1">
        <v>1</v>
      </c>
      <c r="C42" s="11"/>
      <c r="D42" s="1">
        <v>1</v>
      </c>
      <c r="E42" s="1"/>
      <c r="F42" s="1"/>
      <c r="G42" s="4">
        <f>SUMPRODUCT(C42:F45,$C$16:$F$19)</f>
        <v>0.50000000000000022</v>
      </c>
      <c r="H42" s="17" t="s">
        <v>17</v>
      </c>
      <c r="I42" s="14">
        <v>2</v>
      </c>
      <c r="J42" t="b">
        <f>IF(G42&lt;=I42,TRUE,FALSE)</f>
        <v>1</v>
      </c>
    </row>
    <row r="43" spans="1:10" x14ac:dyDescent="0.55000000000000004">
      <c r="A43" s="36"/>
      <c r="B43" s="1">
        <v>2</v>
      </c>
      <c r="C43" s="1"/>
      <c r="D43" s="11"/>
      <c r="E43" s="1">
        <v>1</v>
      </c>
      <c r="F43" s="1"/>
    </row>
    <row r="44" spans="1:10" x14ac:dyDescent="0.55000000000000004">
      <c r="A44" s="36"/>
      <c r="B44" s="1">
        <v>3</v>
      </c>
      <c r="C44" s="1">
        <v>1</v>
      </c>
      <c r="D44" s="1"/>
      <c r="E44" s="11"/>
      <c r="F44" s="18"/>
    </row>
    <row r="45" spans="1:10" x14ac:dyDescent="0.55000000000000004">
      <c r="A45" s="36"/>
      <c r="B45" s="19">
        <v>4</v>
      </c>
      <c r="C45" s="1"/>
      <c r="D45" s="1"/>
      <c r="E45" s="18"/>
      <c r="F45" s="11"/>
    </row>
    <row r="47" spans="1:10" x14ac:dyDescent="0.55000000000000004">
      <c r="B47" s="37" t="s">
        <v>19</v>
      </c>
      <c r="C47" s="37"/>
      <c r="D47" s="37"/>
      <c r="E47" s="37"/>
      <c r="F47" s="16"/>
    </row>
    <row r="48" spans="1:10" x14ac:dyDescent="0.55000000000000004">
      <c r="C48" s="38" t="s">
        <v>11</v>
      </c>
      <c r="D48" s="38"/>
      <c r="E48" s="38"/>
      <c r="F48" s="38"/>
    </row>
    <row r="49" spans="1:10" x14ac:dyDescent="0.55000000000000004">
      <c r="C49" s="10">
        <v>1</v>
      </c>
      <c r="D49" s="10">
        <v>2</v>
      </c>
      <c r="E49" s="10">
        <v>3</v>
      </c>
      <c r="F49" s="20">
        <v>4</v>
      </c>
    </row>
    <row r="50" spans="1:10" x14ac:dyDescent="0.55000000000000004">
      <c r="A50" s="36" t="s">
        <v>12</v>
      </c>
      <c r="B50" s="1">
        <v>1</v>
      </c>
      <c r="C50" s="11" t="s">
        <v>14</v>
      </c>
      <c r="D50" s="1">
        <v>1</v>
      </c>
      <c r="E50" s="1"/>
      <c r="F50" s="1"/>
      <c r="G50" s="4">
        <f>SUMPRODUCT(C50:F53,$C$16:$F$19)</f>
        <v>0.49999999999999967</v>
      </c>
      <c r="H50" s="17" t="s">
        <v>17</v>
      </c>
      <c r="I50" s="14">
        <v>2</v>
      </c>
      <c r="J50" t="b">
        <f>IF(G50&lt;=I50,TRUE,FALSE)</f>
        <v>1</v>
      </c>
    </row>
    <row r="51" spans="1:10" x14ac:dyDescent="0.55000000000000004">
      <c r="A51" s="36"/>
      <c r="B51" s="1">
        <v>2</v>
      </c>
      <c r="C51" s="1"/>
      <c r="D51" s="11"/>
      <c r="E51" s="1"/>
      <c r="F51" s="1">
        <v>1</v>
      </c>
    </row>
    <row r="52" spans="1:10" x14ac:dyDescent="0.55000000000000004">
      <c r="A52" s="36"/>
      <c r="B52" s="1">
        <v>3</v>
      </c>
      <c r="C52" s="1"/>
      <c r="D52" s="1"/>
      <c r="E52" s="11"/>
      <c r="F52" s="18"/>
    </row>
    <row r="53" spans="1:10" x14ac:dyDescent="0.55000000000000004">
      <c r="A53" s="36"/>
      <c r="B53" s="19">
        <v>4</v>
      </c>
      <c r="C53" s="1">
        <v>1</v>
      </c>
      <c r="D53" s="1"/>
      <c r="E53" s="18"/>
      <c r="F53" s="11"/>
    </row>
    <row r="55" spans="1:10" x14ac:dyDescent="0.55000000000000004">
      <c r="B55" s="37" t="s">
        <v>19</v>
      </c>
      <c r="C55" s="37"/>
      <c r="D55" s="37"/>
      <c r="E55" s="37"/>
      <c r="F55" s="16"/>
    </row>
    <row r="56" spans="1:10" x14ac:dyDescent="0.55000000000000004">
      <c r="C56" s="38" t="s">
        <v>11</v>
      </c>
      <c r="D56" s="38"/>
      <c r="E56" s="38"/>
      <c r="F56" s="38"/>
    </row>
    <row r="57" spans="1:10" x14ac:dyDescent="0.55000000000000004">
      <c r="C57" s="10">
        <v>1</v>
      </c>
      <c r="D57" s="10">
        <v>2</v>
      </c>
      <c r="E57" s="10">
        <v>3</v>
      </c>
      <c r="F57" s="20">
        <v>4</v>
      </c>
    </row>
    <row r="58" spans="1:10" x14ac:dyDescent="0.55000000000000004">
      <c r="A58" s="36" t="s">
        <v>12</v>
      </c>
      <c r="B58" s="1">
        <v>1</v>
      </c>
      <c r="C58" s="11" t="s">
        <v>14</v>
      </c>
      <c r="D58" s="1"/>
      <c r="E58" s="1">
        <v>1</v>
      </c>
      <c r="F58" s="1"/>
      <c r="G58" s="4">
        <f>SUMPRODUCT(C58:F61,$C$16:$F$19)</f>
        <v>1.5</v>
      </c>
      <c r="H58" s="17" t="s">
        <v>17</v>
      </c>
      <c r="I58" s="14">
        <v>2</v>
      </c>
      <c r="J58" t="b">
        <f>IF(G58&lt;=I58,TRUE,FALSE)</f>
        <v>1</v>
      </c>
    </row>
    <row r="59" spans="1:10" x14ac:dyDescent="0.55000000000000004">
      <c r="A59" s="36"/>
      <c r="B59" s="1">
        <v>2</v>
      </c>
      <c r="C59" s="1"/>
      <c r="D59" s="11"/>
      <c r="E59" s="1"/>
      <c r="F59" s="1"/>
    </row>
    <row r="60" spans="1:10" x14ac:dyDescent="0.55000000000000004">
      <c r="A60" s="36"/>
      <c r="B60" s="1">
        <v>3</v>
      </c>
      <c r="C60" s="1"/>
      <c r="D60" s="1"/>
      <c r="E60" s="11"/>
      <c r="F60" s="18">
        <v>1</v>
      </c>
    </row>
    <row r="61" spans="1:10" x14ac:dyDescent="0.55000000000000004">
      <c r="A61" s="36"/>
      <c r="B61" s="19">
        <v>4</v>
      </c>
      <c r="C61" s="1">
        <v>1</v>
      </c>
      <c r="D61" s="1"/>
      <c r="E61" s="18"/>
      <c r="F61" s="18"/>
    </row>
    <row r="62" spans="1:10" x14ac:dyDescent="0.55000000000000004">
      <c r="B62" s="4"/>
      <c r="C62" s="4"/>
      <c r="D62" s="4"/>
      <c r="E62" s="15"/>
      <c r="F62" s="15"/>
    </row>
    <row r="63" spans="1:10" x14ac:dyDescent="0.55000000000000004">
      <c r="B63" s="37" t="s">
        <v>19</v>
      </c>
      <c r="C63" s="37"/>
      <c r="D63" s="37"/>
      <c r="E63" s="37"/>
      <c r="F63" s="16"/>
    </row>
    <row r="64" spans="1:10" x14ac:dyDescent="0.55000000000000004">
      <c r="C64" s="38" t="s">
        <v>11</v>
      </c>
      <c r="D64" s="38"/>
      <c r="E64" s="38"/>
      <c r="F64" s="38"/>
    </row>
    <row r="65" spans="1:10" x14ac:dyDescent="0.55000000000000004">
      <c r="C65" s="10">
        <v>1</v>
      </c>
      <c r="D65" s="10">
        <v>2</v>
      </c>
      <c r="E65" s="10">
        <v>3</v>
      </c>
      <c r="F65" s="20">
        <v>4</v>
      </c>
    </row>
    <row r="66" spans="1:10" x14ac:dyDescent="0.55000000000000004">
      <c r="A66" s="36" t="s">
        <v>12</v>
      </c>
      <c r="B66" s="1">
        <v>1</v>
      </c>
      <c r="C66" s="11" t="s">
        <v>14</v>
      </c>
      <c r="D66" s="1"/>
      <c r="E66" s="1"/>
      <c r="F66" s="1"/>
      <c r="G66" s="4">
        <f>SUMPRODUCT(C66:F69,$C$16:$F$19)</f>
        <v>1.5000000000000004</v>
      </c>
      <c r="H66" s="17" t="s">
        <v>17</v>
      </c>
      <c r="I66" s="14">
        <v>2</v>
      </c>
      <c r="J66" t="b">
        <f>IF(G66&lt;=I66,TRUE,FALSE)</f>
        <v>1</v>
      </c>
    </row>
    <row r="67" spans="1:10" x14ac:dyDescent="0.55000000000000004">
      <c r="A67" s="36"/>
      <c r="B67" s="1">
        <v>2</v>
      </c>
      <c r="C67" s="1"/>
      <c r="D67" s="11"/>
      <c r="E67" s="1">
        <v>1</v>
      </c>
      <c r="F67" s="1"/>
    </row>
    <row r="68" spans="1:10" x14ac:dyDescent="0.55000000000000004">
      <c r="A68" s="36"/>
      <c r="B68" s="1">
        <v>3</v>
      </c>
      <c r="C68" s="1"/>
      <c r="D68" s="1"/>
      <c r="E68" s="11"/>
      <c r="F68" s="18">
        <v>1</v>
      </c>
    </row>
    <row r="69" spans="1:10" x14ac:dyDescent="0.55000000000000004">
      <c r="A69" s="36"/>
      <c r="B69" s="19">
        <v>4</v>
      </c>
      <c r="C69" s="1"/>
      <c r="D69" s="1">
        <v>1</v>
      </c>
      <c r="E69" s="18"/>
      <c r="F69" s="18"/>
    </row>
    <row r="70" spans="1:10" x14ac:dyDescent="0.55000000000000004">
      <c r="B70" s="4"/>
      <c r="C70" s="4"/>
      <c r="D70" s="4"/>
      <c r="E70" s="4"/>
      <c r="F70" s="4"/>
      <c r="G70" s="14"/>
      <c r="H70" s="14"/>
      <c r="I70" s="4"/>
    </row>
    <row r="71" spans="1:10" x14ac:dyDescent="0.55000000000000004">
      <c r="B71" s="37" t="s">
        <v>19</v>
      </c>
      <c r="C71" s="37"/>
      <c r="D71" s="37"/>
      <c r="E71" s="37"/>
      <c r="F71" s="16"/>
      <c r="G71" s="14"/>
      <c r="H71" s="14"/>
      <c r="I71" s="4"/>
    </row>
    <row r="72" spans="1:10" x14ac:dyDescent="0.55000000000000004">
      <c r="C72" s="38" t="s">
        <v>11</v>
      </c>
      <c r="D72" s="38"/>
      <c r="E72" s="38"/>
      <c r="F72" s="38"/>
      <c r="G72" s="14"/>
      <c r="H72" s="14"/>
      <c r="I72" s="4"/>
    </row>
    <row r="73" spans="1:10" x14ac:dyDescent="0.55000000000000004">
      <c r="C73" s="10">
        <v>1</v>
      </c>
      <c r="D73" s="10">
        <v>2</v>
      </c>
      <c r="E73" s="10">
        <v>3</v>
      </c>
      <c r="F73" s="20">
        <v>4</v>
      </c>
    </row>
    <row r="74" spans="1:10" x14ac:dyDescent="0.55000000000000004">
      <c r="A74" s="36" t="s">
        <v>12</v>
      </c>
      <c r="B74" s="1">
        <v>1</v>
      </c>
      <c r="C74" s="11"/>
      <c r="D74" s="1"/>
      <c r="E74" s="1">
        <v>1</v>
      </c>
      <c r="F74" s="1"/>
      <c r="G74" s="4">
        <f>SUMPRODUCT(C74:F77,$C$16:$F$19)</f>
        <v>1.5000000000000004</v>
      </c>
      <c r="H74" s="17" t="s">
        <v>17</v>
      </c>
      <c r="I74" s="14">
        <v>2</v>
      </c>
      <c r="J74" t="b">
        <f>IF(G74&lt;=I74,TRUE,FALSE)</f>
        <v>1</v>
      </c>
    </row>
    <row r="75" spans="1:10" x14ac:dyDescent="0.55000000000000004">
      <c r="A75" s="36"/>
      <c r="B75" s="1">
        <v>2</v>
      </c>
      <c r="C75" s="1">
        <v>1</v>
      </c>
      <c r="D75" s="11"/>
      <c r="E75" s="1"/>
      <c r="F75" s="1"/>
    </row>
    <row r="76" spans="1:10" x14ac:dyDescent="0.55000000000000004">
      <c r="A76" s="36"/>
      <c r="B76" s="1">
        <v>3</v>
      </c>
      <c r="C76" s="1"/>
      <c r="D76" s="1">
        <v>1</v>
      </c>
      <c r="E76" s="11"/>
      <c r="F76" s="18"/>
    </row>
    <row r="77" spans="1:10" x14ac:dyDescent="0.55000000000000004">
      <c r="A77" s="36"/>
      <c r="B77" s="19">
        <v>4</v>
      </c>
      <c r="C77" s="1"/>
      <c r="D77" s="1"/>
      <c r="E77" s="18"/>
      <c r="F77" s="11"/>
    </row>
    <row r="79" spans="1:10" x14ac:dyDescent="0.55000000000000004">
      <c r="B79" s="37" t="s">
        <v>19</v>
      </c>
      <c r="C79" s="37"/>
      <c r="D79" s="37"/>
      <c r="E79" s="37"/>
      <c r="F79" s="16"/>
    </row>
    <row r="80" spans="1:10" x14ac:dyDescent="0.55000000000000004">
      <c r="C80" s="38" t="s">
        <v>11</v>
      </c>
      <c r="D80" s="38"/>
      <c r="E80" s="38"/>
      <c r="F80" s="38"/>
    </row>
    <row r="81" spans="1:10" x14ac:dyDescent="0.55000000000000004">
      <c r="C81" s="10">
        <v>1</v>
      </c>
      <c r="D81" s="10">
        <v>2</v>
      </c>
      <c r="E81" s="10">
        <v>3</v>
      </c>
      <c r="F81" s="20">
        <v>4</v>
      </c>
    </row>
    <row r="82" spans="1:10" x14ac:dyDescent="0.55000000000000004">
      <c r="A82" s="36" t="s">
        <v>12</v>
      </c>
      <c r="B82" s="1">
        <v>1</v>
      </c>
      <c r="C82" s="11" t="s">
        <v>14</v>
      </c>
      <c r="D82" s="1"/>
      <c r="E82" s="1"/>
      <c r="F82" s="1">
        <v>1</v>
      </c>
      <c r="G82" s="4">
        <f>SUMPRODUCT(C82:F85,$C$16:$F$19)</f>
        <v>1.5</v>
      </c>
      <c r="H82" s="17" t="s">
        <v>17</v>
      </c>
      <c r="I82" s="14">
        <v>2</v>
      </c>
      <c r="J82" t="b">
        <f>IF(G82&lt;=I82,TRUE,FALSE)</f>
        <v>1</v>
      </c>
    </row>
    <row r="83" spans="1:10" x14ac:dyDescent="0.55000000000000004">
      <c r="A83" s="36"/>
      <c r="B83" s="1">
        <v>2</v>
      </c>
      <c r="C83" s="1">
        <v>1</v>
      </c>
      <c r="D83" s="11"/>
      <c r="E83" s="1"/>
      <c r="F83" s="1"/>
    </row>
    <row r="84" spans="1:10" x14ac:dyDescent="0.55000000000000004">
      <c r="A84" s="36"/>
      <c r="B84" s="1">
        <v>3</v>
      </c>
      <c r="C84" s="1"/>
      <c r="D84" s="1"/>
      <c r="E84" s="11"/>
      <c r="F84" s="18"/>
    </row>
    <row r="85" spans="1:10" x14ac:dyDescent="0.55000000000000004">
      <c r="A85" s="36"/>
      <c r="B85" s="19">
        <v>4</v>
      </c>
      <c r="C85" s="1"/>
      <c r="D85" s="1">
        <v>1</v>
      </c>
      <c r="E85" s="18"/>
      <c r="F85" s="11"/>
    </row>
    <row r="87" spans="1:10" x14ac:dyDescent="0.55000000000000004">
      <c r="B87" s="37" t="s">
        <v>19</v>
      </c>
      <c r="C87" s="37"/>
      <c r="D87" s="37"/>
      <c r="E87" s="37"/>
      <c r="F87" s="16"/>
    </row>
    <row r="88" spans="1:10" x14ac:dyDescent="0.55000000000000004">
      <c r="C88" s="38" t="s">
        <v>11</v>
      </c>
      <c r="D88" s="38"/>
      <c r="E88" s="38"/>
      <c r="F88" s="38"/>
    </row>
    <row r="89" spans="1:10" x14ac:dyDescent="0.55000000000000004">
      <c r="C89" s="10">
        <v>1</v>
      </c>
      <c r="D89" s="10">
        <v>2</v>
      </c>
      <c r="E89" s="10">
        <v>3</v>
      </c>
      <c r="F89" s="20">
        <v>4</v>
      </c>
    </row>
    <row r="90" spans="1:10" x14ac:dyDescent="0.55000000000000004">
      <c r="A90" s="36" t="s">
        <v>12</v>
      </c>
      <c r="B90" s="1">
        <v>1</v>
      </c>
      <c r="C90" s="11" t="s">
        <v>14</v>
      </c>
      <c r="D90" s="1"/>
      <c r="E90" s="1">
        <v>1</v>
      </c>
      <c r="F90" s="1"/>
      <c r="G90" s="4">
        <f>SUMPRODUCT(C90:F93,$C$16:$F$19)</f>
        <v>1.5</v>
      </c>
      <c r="H90" s="17" t="s">
        <v>17</v>
      </c>
      <c r="I90" s="14">
        <v>2</v>
      </c>
      <c r="J90" t="b">
        <f>IF(G90&lt;=I90,TRUE,FALSE)</f>
        <v>1</v>
      </c>
    </row>
    <row r="91" spans="1:10" x14ac:dyDescent="0.55000000000000004">
      <c r="A91" s="36"/>
      <c r="B91" s="1">
        <v>2</v>
      </c>
      <c r="C91" s="1"/>
      <c r="D91" s="11"/>
      <c r="E91" s="1"/>
      <c r="F91" s="1"/>
    </row>
    <row r="92" spans="1:10" x14ac:dyDescent="0.55000000000000004">
      <c r="A92" s="36"/>
      <c r="B92" s="1">
        <v>3</v>
      </c>
      <c r="C92" s="1"/>
      <c r="D92" s="1"/>
      <c r="E92" s="11"/>
      <c r="F92" s="18">
        <v>1</v>
      </c>
    </row>
    <row r="93" spans="1:10" x14ac:dyDescent="0.55000000000000004">
      <c r="A93" s="36"/>
      <c r="B93" s="19">
        <v>4</v>
      </c>
      <c r="C93" s="1">
        <v>1</v>
      </c>
      <c r="D93" s="1"/>
      <c r="E93" s="18"/>
      <c r="F93" s="18"/>
    </row>
    <row r="94" spans="1:10" x14ac:dyDescent="0.55000000000000004">
      <c r="B94" s="4"/>
      <c r="C94" s="4"/>
      <c r="D94" s="4"/>
      <c r="E94" s="15"/>
      <c r="F94" s="15"/>
    </row>
    <row r="95" spans="1:10" x14ac:dyDescent="0.55000000000000004">
      <c r="B95" s="37" t="s">
        <v>19</v>
      </c>
      <c r="C95" s="37"/>
      <c r="D95" s="37"/>
      <c r="E95" s="37"/>
      <c r="F95" s="16"/>
    </row>
    <row r="96" spans="1:10" x14ac:dyDescent="0.55000000000000004">
      <c r="C96" s="38" t="s">
        <v>11</v>
      </c>
      <c r="D96" s="38"/>
      <c r="E96" s="38"/>
      <c r="F96" s="38"/>
    </row>
    <row r="97" spans="1:10" x14ac:dyDescent="0.55000000000000004">
      <c r="C97" s="10">
        <v>1</v>
      </c>
      <c r="D97" s="10">
        <v>2</v>
      </c>
      <c r="E97" s="10">
        <v>3</v>
      </c>
      <c r="F97" s="20">
        <v>4</v>
      </c>
    </row>
    <row r="98" spans="1:10" x14ac:dyDescent="0.55000000000000004">
      <c r="A98" s="36" t="s">
        <v>12</v>
      </c>
      <c r="B98" s="1">
        <v>1</v>
      </c>
      <c r="C98" s="11" t="s">
        <v>14</v>
      </c>
      <c r="D98" s="1"/>
      <c r="E98" s="1"/>
      <c r="F98" s="1"/>
      <c r="G98" s="4">
        <f>SUMPRODUCT(C98:F101,$C$16:$F$19)</f>
        <v>0.50000000000000011</v>
      </c>
      <c r="H98" s="17" t="s">
        <v>17</v>
      </c>
      <c r="I98" s="14">
        <v>2</v>
      </c>
      <c r="J98" t="b">
        <f>IF(G98&lt;=I98,TRUE,FALSE)</f>
        <v>1</v>
      </c>
    </row>
    <row r="99" spans="1:10" x14ac:dyDescent="0.55000000000000004">
      <c r="A99" s="36"/>
      <c r="B99" s="1">
        <v>2</v>
      </c>
      <c r="C99" s="1"/>
      <c r="D99" s="11"/>
      <c r="E99" s="1"/>
      <c r="F99" s="1">
        <v>1</v>
      </c>
    </row>
    <row r="100" spans="1:10" x14ac:dyDescent="0.55000000000000004">
      <c r="A100" s="36"/>
      <c r="B100" s="1">
        <v>3</v>
      </c>
      <c r="C100" s="1"/>
      <c r="D100" s="1">
        <v>1</v>
      </c>
      <c r="E100" s="11"/>
      <c r="F100" s="18"/>
    </row>
    <row r="101" spans="1:10" x14ac:dyDescent="0.55000000000000004">
      <c r="A101" s="36"/>
      <c r="B101" s="19">
        <v>4</v>
      </c>
      <c r="C101" s="1"/>
      <c r="D101" s="1"/>
      <c r="E101" s="18">
        <v>1</v>
      </c>
      <c r="F101" s="18"/>
    </row>
    <row r="102" spans="1:10" x14ac:dyDescent="0.55000000000000004">
      <c r="B102" s="4"/>
      <c r="C102" s="4"/>
      <c r="D102" s="4"/>
      <c r="E102" s="15"/>
      <c r="F102" s="15"/>
    </row>
    <row r="103" spans="1:10" x14ac:dyDescent="0.55000000000000004">
      <c r="B103" s="37" t="s">
        <v>16</v>
      </c>
      <c r="C103" s="37"/>
      <c r="D103" s="37"/>
      <c r="E103" s="37"/>
      <c r="F103" s="16"/>
    </row>
    <row r="104" spans="1:10" x14ac:dyDescent="0.55000000000000004">
      <c r="C104" s="38" t="s">
        <v>11</v>
      </c>
      <c r="D104" s="38"/>
      <c r="E104" s="38"/>
      <c r="F104" s="38"/>
    </row>
    <row r="105" spans="1:10" x14ac:dyDescent="0.55000000000000004">
      <c r="C105" s="10">
        <v>1</v>
      </c>
      <c r="D105" s="10">
        <v>2</v>
      </c>
      <c r="E105" s="10">
        <v>3</v>
      </c>
      <c r="F105" s="20">
        <v>4</v>
      </c>
    </row>
    <row r="106" spans="1:10" x14ac:dyDescent="0.55000000000000004">
      <c r="A106" s="36" t="s">
        <v>12</v>
      </c>
      <c r="B106" s="1">
        <v>1</v>
      </c>
      <c r="C106" s="11" t="s">
        <v>14</v>
      </c>
      <c r="D106" s="1">
        <v>1</v>
      </c>
      <c r="E106" s="1"/>
      <c r="F106" s="1"/>
      <c r="G106" s="4">
        <f>SUMPRODUCT(C106:F109,$C$16:$F$19)</f>
        <v>0.50000000000000011</v>
      </c>
      <c r="H106" s="17" t="s">
        <v>17</v>
      </c>
      <c r="I106" s="14">
        <v>1</v>
      </c>
      <c r="J106" t="b">
        <f>IF(G106&lt;=I106,TRUE,FALSE)</f>
        <v>1</v>
      </c>
    </row>
    <row r="107" spans="1:10" x14ac:dyDescent="0.55000000000000004">
      <c r="A107" s="36"/>
      <c r="B107" s="1">
        <v>2</v>
      </c>
      <c r="C107" s="1">
        <v>1</v>
      </c>
      <c r="D107" s="11"/>
      <c r="E107" s="1"/>
      <c r="F107" s="1"/>
    </row>
    <row r="108" spans="1:10" x14ac:dyDescent="0.55000000000000004">
      <c r="A108" s="36"/>
      <c r="B108" s="1">
        <v>3</v>
      </c>
      <c r="C108" s="1"/>
      <c r="D108" s="1"/>
      <c r="E108" s="11"/>
      <c r="F108" s="18"/>
    </row>
    <row r="109" spans="1:10" x14ac:dyDescent="0.55000000000000004">
      <c r="A109" s="36"/>
      <c r="B109" s="19">
        <v>4</v>
      </c>
      <c r="C109" s="1"/>
      <c r="D109" s="1"/>
      <c r="E109" s="1"/>
      <c r="F109" s="1"/>
    </row>
    <row r="110" spans="1:10" x14ac:dyDescent="0.55000000000000004">
      <c r="B110" s="14"/>
    </row>
    <row r="111" spans="1:10" x14ac:dyDescent="0.55000000000000004">
      <c r="B111" s="37" t="s">
        <v>16</v>
      </c>
      <c r="C111" s="37"/>
      <c r="D111" s="37"/>
      <c r="E111" s="37"/>
      <c r="F111" s="16"/>
    </row>
    <row r="112" spans="1:10" x14ac:dyDescent="0.55000000000000004">
      <c r="C112" s="38" t="s">
        <v>11</v>
      </c>
      <c r="D112" s="38"/>
      <c r="E112" s="38"/>
      <c r="F112" s="38"/>
    </row>
    <row r="113" spans="1:10" x14ac:dyDescent="0.55000000000000004">
      <c r="C113" s="10">
        <v>1</v>
      </c>
      <c r="D113" s="10">
        <v>2</v>
      </c>
      <c r="E113" s="10">
        <v>3</v>
      </c>
      <c r="F113" s="20">
        <v>4</v>
      </c>
    </row>
    <row r="114" spans="1:10" x14ac:dyDescent="0.55000000000000004">
      <c r="A114" s="36" t="s">
        <v>12</v>
      </c>
      <c r="B114" s="1">
        <v>1</v>
      </c>
      <c r="C114" s="11" t="s">
        <v>14</v>
      </c>
      <c r="D114" s="1"/>
      <c r="E114" s="1">
        <v>1</v>
      </c>
      <c r="F114" s="1"/>
      <c r="G114" s="4">
        <f>SUMPRODUCT(C114:F117,$C$16:$F$19)</f>
        <v>0.50000000000000033</v>
      </c>
      <c r="H114" s="17" t="s">
        <v>17</v>
      </c>
      <c r="I114" s="14">
        <v>1</v>
      </c>
      <c r="J114" t="b">
        <f>IF(G114&lt;=I114,TRUE,FALSE)</f>
        <v>1</v>
      </c>
    </row>
    <row r="115" spans="1:10" x14ac:dyDescent="0.55000000000000004">
      <c r="A115" s="36"/>
      <c r="B115" s="1">
        <v>2</v>
      </c>
      <c r="C115" s="1"/>
      <c r="D115" s="11"/>
      <c r="E115" s="1"/>
      <c r="F115" s="1"/>
    </row>
    <row r="116" spans="1:10" x14ac:dyDescent="0.55000000000000004">
      <c r="A116" s="36"/>
      <c r="B116" s="1">
        <v>3</v>
      </c>
      <c r="C116" s="1">
        <v>1</v>
      </c>
      <c r="D116" s="1"/>
      <c r="E116" s="11"/>
      <c r="F116" s="18"/>
    </row>
    <row r="117" spans="1:10" x14ac:dyDescent="0.55000000000000004">
      <c r="A117" s="36"/>
      <c r="B117" s="19">
        <v>4</v>
      </c>
      <c r="C117" s="1"/>
      <c r="D117" s="1"/>
      <c r="E117" s="1"/>
      <c r="F117" s="1"/>
    </row>
    <row r="118" spans="1:10" x14ac:dyDescent="0.55000000000000004">
      <c r="B118" s="14"/>
    </row>
    <row r="119" spans="1:10" x14ac:dyDescent="0.55000000000000004">
      <c r="B119" s="37" t="s">
        <v>16</v>
      </c>
      <c r="C119" s="37"/>
      <c r="D119" s="37"/>
      <c r="E119" s="37"/>
      <c r="F119" s="16"/>
    </row>
    <row r="120" spans="1:10" x14ac:dyDescent="0.55000000000000004">
      <c r="C120" s="38" t="s">
        <v>11</v>
      </c>
      <c r="D120" s="38"/>
      <c r="E120" s="38"/>
      <c r="F120" s="38"/>
    </row>
    <row r="121" spans="1:10" x14ac:dyDescent="0.55000000000000004">
      <c r="C121" s="10">
        <v>1</v>
      </c>
      <c r="D121" s="10">
        <v>2</v>
      </c>
      <c r="E121" s="10">
        <v>3</v>
      </c>
      <c r="F121" s="20">
        <v>4</v>
      </c>
    </row>
    <row r="122" spans="1:10" x14ac:dyDescent="0.55000000000000004">
      <c r="A122" s="36" t="s">
        <v>12</v>
      </c>
      <c r="B122" s="1">
        <v>1</v>
      </c>
      <c r="C122" s="11" t="s">
        <v>14</v>
      </c>
      <c r="D122" s="1"/>
      <c r="E122" s="1"/>
      <c r="F122" s="1">
        <v>1</v>
      </c>
      <c r="G122" s="4">
        <f>SUMPRODUCT(C122:F125,$C$16:$F$19)</f>
        <v>0.99999999999999967</v>
      </c>
      <c r="H122" s="17" t="s">
        <v>17</v>
      </c>
      <c r="I122" s="14">
        <v>1</v>
      </c>
      <c r="J122" t="b">
        <f>IF(G122&lt;=I122,TRUE,FALSE)</f>
        <v>1</v>
      </c>
    </row>
    <row r="123" spans="1:10" x14ac:dyDescent="0.55000000000000004">
      <c r="A123" s="36"/>
      <c r="B123" s="1">
        <v>2</v>
      </c>
      <c r="C123" s="1"/>
      <c r="D123" s="11"/>
      <c r="E123" s="1"/>
      <c r="F123" s="1"/>
    </row>
    <row r="124" spans="1:10" x14ac:dyDescent="0.55000000000000004">
      <c r="A124" s="36"/>
      <c r="B124" s="1">
        <v>3</v>
      </c>
      <c r="C124" s="1"/>
      <c r="D124" s="1"/>
      <c r="E124" s="11"/>
      <c r="F124" s="18"/>
    </row>
    <row r="125" spans="1:10" x14ac:dyDescent="0.55000000000000004">
      <c r="A125" s="36"/>
      <c r="B125" s="19">
        <v>4</v>
      </c>
      <c r="C125" s="1">
        <v>1</v>
      </c>
      <c r="D125" s="1"/>
      <c r="E125" s="1"/>
      <c r="F125" s="1"/>
    </row>
    <row r="126" spans="1:10" x14ac:dyDescent="0.55000000000000004">
      <c r="A126" s="12"/>
      <c r="B126" s="14"/>
      <c r="C126" s="4"/>
      <c r="D126" s="4"/>
      <c r="E126" s="4"/>
      <c r="F126" s="4"/>
    </row>
    <row r="127" spans="1:10" x14ac:dyDescent="0.55000000000000004">
      <c r="B127" s="37" t="s">
        <v>16</v>
      </c>
      <c r="C127" s="37"/>
      <c r="D127" s="37"/>
      <c r="E127" s="37"/>
      <c r="F127" s="16"/>
    </row>
    <row r="128" spans="1:10" x14ac:dyDescent="0.55000000000000004">
      <c r="C128" s="38" t="s">
        <v>11</v>
      </c>
      <c r="D128" s="38"/>
      <c r="E128" s="38"/>
      <c r="F128" s="38"/>
    </row>
    <row r="129" spans="1:10" x14ac:dyDescent="0.55000000000000004">
      <c r="C129" s="10">
        <v>1</v>
      </c>
      <c r="D129" s="10">
        <v>2</v>
      </c>
      <c r="E129" s="10">
        <v>3</v>
      </c>
      <c r="F129" s="20">
        <v>4</v>
      </c>
    </row>
    <row r="130" spans="1:10" x14ac:dyDescent="0.55000000000000004">
      <c r="A130" s="36" t="s">
        <v>12</v>
      </c>
      <c r="B130" s="1">
        <v>1</v>
      </c>
      <c r="C130" s="11" t="s">
        <v>14</v>
      </c>
      <c r="D130" s="1"/>
      <c r="E130" s="1"/>
      <c r="F130" s="1"/>
      <c r="G130" s="4">
        <f>SUMPRODUCT(C130:F133,$C$16:$F$19)</f>
        <v>1</v>
      </c>
      <c r="H130" s="17" t="s">
        <v>17</v>
      </c>
      <c r="I130" s="14">
        <v>1</v>
      </c>
      <c r="J130" t="b">
        <f>IF(G130&lt;=I130,TRUE,FALSE)</f>
        <v>1</v>
      </c>
    </row>
    <row r="131" spans="1:10" x14ac:dyDescent="0.55000000000000004">
      <c r="A131" s="36"/>
      <c r="B131" s="1">
        <v>2</v>
      </c>
      <c r="C131" s="1"/>
      <c r="D131" s="11"/>
      <c r="E131" s="1">
        <v>1</v>
      </c>
      <c r="F131" s="1"/>
    </row>
    <row r="132" spans="1:10" x14ac:dyDescent="0.55000000000000004">
      <c r="A132" s="36"/>
      <c r="B132" s="1">
        <v>3</v>
      </c>
      <c r="C132" s="1"/>
      <c r="D132" s="1">
        <v>1</v>
      </c>
      <c r="E132" s="11"/>
      <c r="F132" s="18"/>
    </row>
    <row r="133" spans="1:10" x14ac:dyDescent="0.55000000000000004">
      <c r="A133" s="36"/>
      <c r="B133" s="19">
        <v>4</v>
      </c>
      <c r="C133" s="1"/>
      <c r="D133" s="1"/>
      <c r="E133" s="1"/>
      <c r="F133" s="1"/>
    </row>
    <row r="134" spans="1:10" x14ac:dyDescent="0.55000000000000004">
      <c r="A134" s="12"/>
      <c r="B134" s="14"/>
      <c r="C134" s="4"/>
      <c r="D134" s="4"/>
      <c r="E134" s="4"/>
      <c r="F134" s="4"/>
    </row>
    <row r="135" spans="1:10" x14ac:dyDescent="0.55000000000000004">
      <c r="B135" s="37" t="s">
        <v>16</v>
      </c>
      <c r="C135" s="37"/>
      <c r="D135" s="37"/>
      <c r="E135" s="37"/>
      <c r="F135" s="16"/>
    </row>
    <row r="136" spans="1:10" x14ac:dyDescent="0.55000000000000004">
      <c r="C136" s="38" t="s">
        <v>11</v>
      </c>
      <c r="D136" s="38"/>
      <c r="E136" s="38"/>
      <c r="F136" s="38"/>
    </row>
    <row r="137" spans="1:10" x14ac:dyDescent="0.55000000000000004">
      <c r="C137" s="10">
        <v>1</v>
      </c>
      <c r="D137" s="10">
        <v>2</v>
      </c>
      <c r="E137" s="10">
        <v>3</v>
      </c>
      <c r="F137" s="20">
        <v>4</v>
      </c>
    </row>
    <row r="138" spans="1:10" x14ac:dyDescent="0.55000000000000004">
      <c r="A138" s="36" t="s">
        <v>12</v>
      </c>
      <c r="B138" s="1">
        <v>1</v>
      </c>
      <c r="C138" s="11" t="s">
        <v>14</v>
      </c>
      <c r="D138" s="1"/>
      <c r="E138" s="1"/>
      <c r="F138" s="1"/>
      <c r="G138" s="4">
        <f>SUMPRODUCT(C138:F141,$C$16:$F$19)</f>
        <v>0.50000000000000011</v>
      </c>
      <c r="H138" s="17" t="s">
        <v>17</v>
      </c>
      <c r="I138" s="14">
        <v>1</v>
      </c>
      <c r="J138" t="b">
        <f>IF(G138&lt;=I138,TRUE,FALSE)</f>
        <v>1</v>
      </c>
    </row>
    <row r="139" spans="1:10" x14ac:dyDescent="0.55000000000000004">
      <c r="A139" s="36"/>
      <c r="B139" s="1">
        <v>2</v>
      </c>
      <c r="C139" s="1"/>
      <c r="D139" s="11"/>
      <c r="E139" s="1"/>
      <c r="F139" s="1">
        <v>1</v>
      </c>
    </row>
    <row r="140" spans="1:10" x14ac:dyDescent="0.55000000000000004">
      <c r="A140" s="36"/>
      <c r="B140" s="1">
        <v>3</v>
      </c>
      <c r="C140" s="1"/>
      <c r="D140" s="1"/>
      <c r="E140" s="11"/>
      <c r="F140" s="18"/>
    </row>
    <row r="141" spans="1:10" x14ac:dyDescent="0.55000000000000004">
      <c r="A141" s="36"/>
      <c r="B141" s="19">
        <v>4</v>
      </c>
      <c r="C141" s="1"/>
      <c r="D141" s="1">
        <v>1</v>
      </c>
      <c r="E141" s="1"/>
      <c r="F141" s="1"/>
    </row>
    <row r="142" spans="1:10" x14ac:dyDescent="0.55000000000000004">
      <c r="A142" s="12"/>
      <c r="B142" s="14"/>
      <c r="C142" s="4"/>
      <c r="D142" s="4"/>
      <c r="E142" s="4"/>
      <c r="F142" s="4"/>
    </row>
    <row r="143" spans="1:10" x14ac:dyDescent="0.55000000000000004">
      <c r="B143" s="37" t="s">
        <v>16</v>
      </c>
      <c r="C143" s="37"/>
      <c r="D143" s="37"/>
      <c r="E143" s="37"/>
      <c r="F143" s="16"/>
    </row>
    <row r="144" spans="1:10" x14ac:dyDescent="0.55000000000000004">
      <c r="C144" s="38" t="s">
        <v>11</v>
      </c>
      <c r="D144" s="38"/>
      <c r="E144" s="38"/>
      <c r="F144" s="38"/>
    </row>
    <row r="145" spans="1:10" x14ac:dyDescent="0.55000000000000004">
      <c r="C145" s="10">
        <v>1</v>
      </c>
      <c r="D145" s="10">
        <v>2</v>
      </c>
      <c r="E145" s="10">
        <v>3</v>
      </c>
      <c r="F145" s="20">
        <v>4</v>
      </c>
    </row>
    <row r="146" spans="1:10" x14ac:dyDescent="0.55000000000000004">
      <c r="A146" s="36" t="s">
        <v>12</v>
      </c>
      <c r="B146" s="1">
        <v>1</v>
      </c>
      <c r="C146" s="11" t="s">
        <v>14</v>
      </c>
      <c r="D146" s="1"/>
      <c r="E146" s="1"/>
      <c r="F146" s="1"/>
      <c r="G146" s="4">
        <f>SUMPRODUCT(C146:F149,$C$16:$F$19)</f>
        <v>0.50000000000000022</v>
      </c>
      <c r="H146" s="17" t="s">
        <v>17</v>
      </c>
      <c r="I146" s="14">
        <v>1</v>
      </c>
      <c r="J146" t="b">
        <f>IF(G146&lt;=I146,TRUE,FALSE)</f>
        <v>1</v>
      </c>
    </row>
    <row r="147" spans="1:10" x14ac:dyDescent="0.55000000000000004">
      <c r="A147" s="36"/>
      <c r="B147" s="1">
        <v>2</v>
      </c>
      <c r="C147" s="1"/>
      <c r="D147" s="11"/>
      <c r="E147" s="1"/>
      <c r="F147" s="1"/>
    </row>
    <row r="148" spans="1:10" x14ac:dyDescent="0.55000000000000004">
      <c r="A148" s="36"/>
      <c r="B148" s="1">
        <v>3</v>
      </c>
      <c r="C148" s="1"/>
      <c r="D148" s="1"/>
      <c r="E148" s="11"/>
      <c r="F148" s="18">
        <v>1</v>
      </c>
    </row>
    <row r="149" spans="1:10" x14ac:dyDescent="0.55000000000000004">
      <c r="A149" s="36"/>
      <c r="B149" s="19">
        <v>4</v>
      </c>
      <c r="C149" s="1"/>
      <c r="D149" s="1"/>
      <c r="E149" s="1">
        <v>1</v>
      </c>
      <c r="F149" s="1"/>
    </row>
    <row r="150" spans="1:10" x14ac:dyDescent="0.55000000000000004">
      <c r="A150" s="12"/>
      <c r="B150" s="14"/>
      <c r="C150" s="4"/>
      <c r="D150" s="4"/>
      <c r="E150" s="4"/>
      <c r="F150" s="4"/>
    </row>
    <row r="151" spans="1:10" x14ac:dyDescent="0.55000000000000004">
      <c r="A151" s="12"/>
      <c r="B151" s="14"/>
      <c r="C151" s="4"/>
      <c r="D151" s="4"/>
      <c r="E151" s="4"/>
      <c r="F151" s="4"/>
    </row>
    <row r="152" spans="1:10" x14ac:dyDescent="0.55000000000000004">
      <c r="A152" s="12"/>
      <c r="B152" s="14"/>
      <c r="C152" s="4" t="s">
        <v>26</v>
      </c>
      <c r="D152" s="4"/>
      <c r="E152" s="4"/>
      <c r="F152" s="4"/>
    </row>
    <row r="153" spans="1:10" x14ac:dyDescent="0.55000000000000004">
      <c r="C153" s="1">
        <f>C20</f>
        <v>1</v>
      </c>
      <c r="D153" s="1">
        <f t="shared" ref="D153:F153" si="4">D20</f>
        <v>1.0000000000000002</v>
      </c>
      <c r="E153" s="1">
        <f t="shared" si="4"/>
        <v>1</v>
      </c>
      <c r="F153" s="1">
        <f t="shared" si="4"/>
        <v>1.0000000000000002</v>
      </c>
    </row>
    <row r="154" spans="1:10" x14ac:dyDescent="0.55000000000000004">
      <c r="C154" s="31" t="s">
        <v>15</v>
      </c>
      <c r="D154" s="31" t="s">
        <v>15</v>
      </c>
      <c r="E154" s="31" t="s">
        <v>15</v>
      </c>
      <c r="F154" s="31" t="s">
        <v>15</v>
      </c>
    </row>
    <row r="155" spans="1:10" x14ac:dyDescent="0.55000000000000004">
      <c r="C155" s="1">
        <v>1</v>
      </c>
      <c r="D155" s="1">
        <v>1</v>
      </c>
      <c r="E155" s="1">
        <v>1</v>
      </c>
      <c r="F155" s="1">
        <v>1</v>
      </c>
    </row>
    <row r="156" spans="1:10" x14ac:dyDescent="0.55000000000000004">
      <c r="C156" s="4"/>
      <c r="D156" s="4"/>
      <c r="E156" s="4"/>
      <c r="F156" s="4"/>
    </row>
    <row r="157" spans="1:10" x14ac:dyDescent="0.55000000000000004">
      <c r="C157" t="s">
        <v>27</v>
      </c>
    </row>
    <row r="158" spans="1:10" x14ac:dyDescent="0.55000000000000004">
      <c r="C158" s="1">
        <f>G16</f>
        <v>1</v>
      </c>
      <c r="D158" s="31" t="s">
        <v>15</v>
      </c>
      <c r="E158" s="1">
        <v>1</v>
      </c>
    </row>
    <row r="159" spans="1:10" x14ac:dyDescent="0.55000000000000004">
      <c r="C159" s="1">
        <f>G17</f>
        <v>1</v>
      </c>
      <c r="D159" s="31" t="s">
        <v>15</v>
      </c>
      <c r="E159" s="1">
        <v>1</v>
      </c>
    </row>
    <row r="160" spans="1:10" x14ac:dyDescent="0.55000000000000004">
      <c r="C160" s="1">
        <f>G18</f>
        <v>1.0000000000000004</v>
      </c>
      <c r="D160" s="31" t="s">
        <v>15</v>
      </c>
      <c r="E160" s="1">
        <v>1</v>
      </c>
    </row>
    <row r="161" spans="3:5" x14ac:dyDescent="0.55000000000000004">
      <c r="C161" s="1">
        <f>G19</f>
        <v>0.99999999999999978</v>
      </c>
      <c r="D161" s="31" t="s">
        <v>15</v>
      </c>
      <c r="E161" s="1">
        <v>1</v>
      </c>
    </row>
  </sheetData>
  <mergeCells count="55">
    <mergeCell ref="A23:A24"/>
    <mergeCell ref="B31:E31"/>
    <mergeCell ref="A25:A28"/>
    <mergeCell ref="C23:F23"/>
    <mergeCell ref="B71:E71"/>
    <mergeCell ref="B63:E63"/>
    <mergeCell ref="C64:F64"/>
    <mergeCell ref="C32:F32"/>
    <mergeCell ref="A34:A37"/>
    <mergeCell ref="A14:A15"/>
    <mergeCell ref="D1:O3"/>
    <mergeCell ref="A16:A19"/>
    <mergeCell ref="C14:F14"/>
    <mergeCell ref="C6:F6"/>
    <mergeCell ref="A6:B6"/>
    <mergeCell ref="A8:A11"/>
    <mergeCell ref="C104:F104"/>
    <mergeCell ref="B39:E39"/>
    <mergeCell ref="C40:F40"/>
    <mergeCell ref="B47:E47"/>
    <mergeCell ref="C48:F48"/>
    <mergeCell ref="B55:E55"/>
    <mergeCell ref="C56:F56"/>
    <mergeCell ref="B79:E79"/>
    <mergeCell ref="B87:E87"/>
    <mergeCell ref="B95:E95"/>
    <mergeCell ref="B103:E103"/>
    <mergeCell ref="C72:F72"/>
    <mergeCell ref="C80:F80"/>
    <mergeCell ref="C88:F88"/>
    <mergeCell ref="C96:F96"/>
    <mergeCell ref="A74:A77"/>
    <mergeCell ref="A82:A85"/>
    <mergeCell ref="A90:A93"/>
    <mergeCell ref="A98:A101"/>
    <mergeCell ref="A42:A45"/>
    <mergeCell ref="A50:A53"/>
    <mergeCell ref="A58:A61"/>
    <mergeCell ref="A66:A69"/>
    <mergeCell ref="A106:A109"/>
    <mergeCell ref="B111:E111"/>
    <mergeCell ref="C112:F112"/>
    <mergeCell ref="A114:A117"/>
    <mergeCell ref="B119:E119"/>
    <mergeCell ref="C120:F120"/>
    <mergeCell ref="A122:A125"/>
    <mergeCell ref="B127:E127"/>
    <mergeCell ref="C128:F128"/>
    <mergeCell ref="A130:A133"/>
    <mergeCell ref="A146:A149"/>
    <mergeCell ref="B135:E135"/>
    <mergeCell ref="C136:F136"/>
    <mergeCell ref="A138:A141"/>
    <mergeCell ref="B143:E143"/>
    <mergeCell ref="C144:F144"/>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61"/>
  <sheetViews>
    <sheetView topLeftCell="A2" zoomScale="120" zoomScaleNormal="120" workbookViewId="0">
      <selection activeCell="E16" sqref="E16"/>
    </sheetView>
  </sheetViews>
  <sheetFormatPr defaultRowHeight="15.3" x14ac:dyDescent="0.55000000000000004"/>
  <cols>
    <col min="1" max="1" width="17.59765625" customWidth="1"/>
    <col min="2" max="2" width="8.75" customWidth="1"/>
    <col min="5" max="6" width="10.25" customWidth="1"/>
    <col min="7" max="7" width="5" customWidth="1"/>
    <col min="8" max="8" width="6.84765625" customWidth="1"/>
    <col min="9" max="9" width="4.5" customWidth="1"/>
    <col min="12" max="12" width="11.59765625" customWidth="1"/>
  </cols>
  <sheetData>
    <row r="1" spans="1:15" ht="31.5" customHeight="1" x14ac:dyDescent="0.55000000000000004">
      <c r="A1" s="32" t="s">
        <v>0</v>
      </c>
      <c r="B1" s="1">
        <f>SUMPRODUCT(C8:F11,C16:F19)</f>
        <v>38</v>
      </c>
      <c r="D1" s="41" t="s">
        <v>18</v>
      </c>
      <c r="E1" s="41"/>
      <c r="F1" s="41"/>
      <c r="G1" s="41"/>
      <c r="H1" s="41"/>
      <c r="I1" s="41"/>
      <c r="J1" s="41"/>
      <c r="K1" s="41"/>
      <c r="L1" s="41"/>
      <c r="M1" s="41"/>
      <c r="N1" s="41"/>
      <c r="O1" s="41"/>
    </row>
    <row r="2" spans="1:15" ht="23.25" customHeight="1" x14ac:dyDescent="0.55000000000000004">
      <c r="A2" s="32" t="s">
        <v>3</v>
      </c>
      <c r="B2" s="1">
        <f>CEILING(B1,1)</f>
        <v>38</v>
      </c>
      <c r="D2" s="41"/>
      <c r="E2" s="41"/>
      <c r="F2" s="41"/>
      <c r="G2" s="41"/>
      <c r="H2" s="41"/>
      <c r="I2" s="41"/>
      <c r="J2" s="41"/>
      <c r="K2" s="41"/>
      <c r="L2" s="41"/>
      <c r="M2" s="41"/>
      <c r="N2" s="41"/>
      <c r="O2" s="41"/>
    </row>
    <row r="3" spans="1:15" ht="23.25" customHeight="1" x14ac:dyDescent="0.55000000000000004">
      <c r="A3" s="32" t="s">
        <v>23</v>
      </c>
      <c r="B3" s="1" t="b">
        <f>IF(AND(D25,E25,E26,C26,C27,D27,F25,F26,F27,C28,D28,E28),TRUE,FALSE)</f>
        <v>1</v>
      </c>
      <c r="D3" s="41"/>
      <c r="E3" s="41"/>
      <c r="F3" s="41"/>
      <c r="G3" s="41"/>
      <c r="H3" s="41"/>
      <c r="I3" s="41"/>
      <c r="J3" s="41"/>
      <c r="K3" s="41"/>
      <c r="L3" s="41"/>
      <c r="M3" s="41"/>
      <c r="N3" s="41"/>
      <c r="O3" s="41"/>
    </row>
    <row r="4" spans="1:15" ht="23.25" customHeight="1" x14ac:dyDescent="0.55000000000000004">
      <c r="A4" s="32" t="s">
        <v>22</v>
      </c>
      <c r="B4" s="1" t="b">
        <f>AND(H16:H19,C21:F21,J34,J42,J50,J58,J66,J74,J82,J90,J98,J106,J114,J122,J130,J138,J146)</f>
        <v>1</v>
      </c>
      <c r="D4" s="27"/>
      <c r="E4" s="27"/>
      <c r="F4" s="27"/>
      <c r="G4" s="27"/>
      <c r="H4" s="27"/>
      <c r="I4" s="27"/>
      <c r="J4" s="27"/>
      <c r="K4" s="27"/>
      <c r="L4" s="27"/>
      <c r="M4" s="27"/>
      <c r="N4" s="27"/>
      <c r="O4" s="27"/>
    </row>
    <row r="5" spans="1:15" x14ac:dyDescent="0.55000000000000004">
      <c r="A5" s="3"/>
      <c r="B5" s="4"/>
    </row>
    <row r="6" spans="1:15" ht="31.5" customHeight="1" x14ac:dyDescent="0.55000000000000004">
      <c r="A6" s="42" t="s">
        <v>21</v>
      </c>
      <c r="B6" s="42"/>
      <c r="C6" s="38" t="s">
        <v>11</v>
      </c>
      <c r="D6" s="38"/>
      <c r="E6" s="38"/>
      <c r="F6" s="38"/>
    </row>
    <row r="7" spans="1:15" x14ac:dyDescent="0.55000000000000004">
      <c r="A7" s="4"/>
      <c r="B7" s="35"/>
      <c r="C7" s="6">
        <v>1</v>
      </c>
      <c r="D7" s="6">
        <v>2</v>
      </c>
      <c r="E7" s="6">
        <v>3</v>
      </c>
      <c r="F7" s="6">
        <v>4</v>
      </c>
    </row>
    <row r="8" spans="1:15" x14ac:dyDescent="0.55000000000000004">
      <c r="A8" s="36" t="s">
        <v>12</v>
      </c>
      <c r="B8" s="5">
        <v>1</v>
      </c>
      <c r="C8" s="11"/>
      <c r="D8" s="6">
        <v>9.5</v>
      </c>
      <c r="E8" s="6">
        <v>12</v>
      </c>
      <c r="F8" s="6">
        <v>10</v>
      </c>
    </row>
    <row r="9" spans="1:15" x14ac:dyDescent="0.55000000000000004">
      <c r="A9" s="36"/>
      <c r="B9" s="5">
        <v>2</v>
      </c>
      <c r="C9" s="6">
        <v>6</v>
      </c>
      <c r="D9" s="11"/>
      <c r="E9" s="6">
        <v>10</v>
      </c>
      <c r="F9" s="6">
        <v>14</v>
      </c>
    </row>
    <row r="10" spans="1:15" x14ac:dyDescent="0.55000000000000004">
      <c r="A10" s="36"/>
      <c r="B10" s="5">
        <v>3</v>
      </c>
      <c r="C10" s="6">
        <v>10</v>
      </c>
      <c r="D10" s="6">
        <v>11</v>
      </c>
      <c r="E10" s="11"/>
      <c r="F10" s="6">
        <v>12</v>
      </c>
    </row>
    <row r="11" spans="1:15" x14ac:dyDescent="0.55000000000000004">
      <c r="A11" s="36"/>
      <c r="B11" s="5">
        <v>4</v>
      </c>
      <c r="C11" s="6">
        <v>7</v>
      </c>
      <c r="D11" s="6">
        <v>8</v>
      </c>
      <c r="E11" s="6">
        <v>15</v>
      </c>
      <c r="F11" s="11"/>
    </row>
    <row r="12" spans="1:15" x14ac:dyDescent="0.55000000000000004">
      <c r="A12" s="3"/>
      <c r="B12" s="4"/>
    </row>
    <row r="13" spans="1:15" x14ac:dyDescent="0.55000000000000004">
      <c r="A13" s="7" t="s">
        <v>4</v>
      </c>
    </row>
    <row r="14" spans="1:15" x14ac:dyDescent="0.55000000000000004">
      <c r="A14" s="39" t="s">
        <v>1</v>
      </c>
      <c r="C14" s="38" t="s">
        <v>11</v>
      </c>
      <c r="D14" s="38"/>
      <c r="E14" s="38"/>
      <c r="F14" s="38"/>
    </row>
    <row r="15" spans="1:15" x14ac:dyDescent="0.55000000000000004">
      <c r="A15" s="40"/>
      <c r="C15" s="24">
        <v>1</v>
      </c>
      <c r="D15" s="24">
        <v>2</v>
      </c>
      <c r="E15" s="24">
        <v>3</v>
      </c>
      <c r="F15" s="25">
        <v>4</v>
      </c>
    </row>
    <row r="16" spans="1:15" x14ac:dyDescent="0.55000000000000004">
      <c r="A16" s="36" t="s">
        <v>12</v>
      </c>
      <c r="B16" s="22">
        <v>1</v>
      </c>
      <c r="C16" s="11">
        <v>0</v>
      </c>
      <c r="D16" s="43">
        <v>0</v>
      </c>
      <c r="E16" s="1">
        <v>0</v>
      </c>
      <c r="F16" s="1">
        <v>1</v>
      </c>
      <c r="G16" s="28">
        <f>SUM(C16:F16)</f>
        <v>1</v>
      </c>
      <c r="H16" s="1" t="b">
        <f>IF(G16=1,TRUE,FALSE)</f>
        <v>1</v>
      </c>
    </row>
    <row r="17" spans="1:9" x14ac:dyDescent="0.55000000000000004">
      <c r="A17" s="36"/>
      <c r="B17" s="22">
        <v>2</v>
      </c>
      <c r="C17" s="1">
        <v>0</v>
      </c>
      <c r="D17" s="11">
        <v>0</v>
      </c>
      <c r="E17" s="1">
        <v>1</v>
      </c>
      <c r="F17" s="1">
        <v>0</v>
      </c>
      <c r="G17" s="28">
        <f t="shared" ref="G17:G19" si="0">SUM(C17:F17)</f>
        <v>1</v>
      </c>
      <c r="H17" s="1" t="b">
        <f t="shared" ref="H17:H19" si="1">IF(G17=1,TRUE,FALSE)</f>
        <v>1</v>
      </c>
    </row>
    <row r="18" spans="1:9" x14ac:dyDescent="0.55000000000000004">
      <c r="A18" s="36"/>
      <c r="B18" s="22">
        <v>3</v>
      </c>
      <c r="C18" s="1">
        <v>1</v>
      </c>
      <c r="D18" s="1">
        <v>0</v>
      </c>
      <c r="E18" s="11">
        <v>0</v>
      </c>
      <c r="F18" s="18">
        <v>0</v>
      </c>
      <c r="G18" s="28">
        <f t="shared" si="0"/>
        <v>1</v>
      </c>
      <c r="H18" s="1" t="b">
        <f t="shared" si="1"/>
        <v>1</v>
      </c>
    </row>
    <row r="19" spans="1:9" x14ac:dyDescent="0.55000000000000004">
      <c r="A19" s="36"/>
      <c r="B19" s="23">
        <v>4</v>
      </c>
      <c r="C19" s="1">
        <v>0</v>
      </c>
      <c r="D19" s="1">
        <v>1</v>
      </c>
      <c r="E19" s="18">
        <v>0</v>
      </c>
      <c r="F19" s="11">
        <v>0</v>
      </c>
      <c r="G19" s="28">
        <f t="shared" si="0"/>
        <v>1</v>
      </c>
      <c r="H19" s="1" t="b">
        <f t="shared" si="1"/>
        <v>1</v>
      </c>
    </row>
    <row r="20" spans="1:9" x14ac:dyDescent="0.55000000000000004">
      <c r="A20" s="12"/>
      <c r="B20" s="4"/>
      <c r="C20" s="29">
        <f>SUM(C16:C19)</f>
        <v>1</v>
      </c>
      <c r="D20" s="29">
        <f t="shared" ref="D20:F20" si="2">SUM(D16:D19)</f>
        <v>1</v>
      </c>
      <c r="E20" s="29">
        <f t="shared" si="2"/>
        <v>1</v>
      </c>
      <c r="F20" s="29">
        <f t="shared" si="2"/>
        <v>1</v>
      </c>
    </row>
    <row r="21" spans="1:9" x14ac:dyDescent="0.55000000000000004">
      <c r="A21" s="12"/>
      <c r="B21" s="4"/>
      <c r="C21" s="1" t="b">
        <f>IF(C20=1,TRUE,FALSE)</f>
        <v>1</v>
      </c>
      <c r="D21" s="1" t="b">
        <f t="shared" ref="D21:F21" si="3">IF(D20=1,TRUE,FALSE)</f>
        <v>1</v>
      </c>
      <c r="E21" s="1" t="b">
        <f t="shared" si="3"/>
        <v>1</v>
      </c>
      <c r="F21" s="1" t="b">
        <f t="shared" si="3"/>
        <v>1</v>
      </c>
    </row>
    <row r="22" spans="1:9" x14ac:dyDescent="0.55000000000000004">
      <c r="A22" s="12"/>
      <c r="B22" s="4"/>
      <c r="C22" s="4"/>
      <c r="D22" s="4"/>
      <c r="E22" s="15"/>
      <c r="F22" s="15"/>
    </row>
    <row r="23" spans="1:9" x14ac:dyDescent="0.55000000000000004">
      <c r="A23" s="39" t="s">
        <v>13</v>
      </c>
      <c r="C23" s="38" t="s">
        <v>11</v>
      </c>
      <c r="D23" s="38"/>
      <c r="E23" s="38"/>
      <c r="F23" s="38"/>
    </row>
    <row r="24" spans="1:9" x14ac:dyDescent="0.55000000000000004">
      <c r="A24" s="40"/>
      <c r="C24" s="24">
        <v>1</v>
      </c>
      <c r="D24" s="24">
        <v>2</v>
      </c>
      <c r="E24" s="24">
        <v>3</v>
      </c>
      <c r="F24" s="25">
        <v>4</v>
      </c>
    </row>
    <row r="25" spans="1:9" x14ac:dyDescent="0.55000000000000004">
      <c r="A25" s="36" t="s">
        <v>12</v>
      </c>
      <c r="B25" s="1">
        <v>1</v>
      </c>
      <c r="C25" s="11"/>
      <c r="D25" s="1" t="b">
        <f>IF(D16=FLOOR(D16,1),TRUE,FALSE)</f>
        <v>1</v>
      </c>
      <c r="E25" s="1" t="b">
        <f>IF(E16=FLOOR(E16,1),TRUE,FALSE)</f>
        <v>1</v>
      </c>
      <c r="F25" s="1" t="b">
        <f>IF(F16=FLOOR(F16,1),TRUE,FALSE)</f>
        <v>1</v>
      </c>
    </row>
    <row r="26" spans="1:9" x14ac:dyDescent="0.55000000000000004">
      <c r="A26" s="36"/>
      <c r="B26" s="1">
        <v>2</v>
      </c>
      <c r="C26" s="1" t="b">
        <f>IF(C17=FLOOR(C17,1),TRUE,FALSE)</f>
        <v>1</v>
      </c>
      <c r="D26" s="11"/>
      <c r="E26" s="1" t="b">
        <f>IF(E17=FLOOR(E17,1),TRUE,FALSE)</f>
        <v>1</v>
      </c>
      <c r="F26" s="1" t="b">
        <f>IF(F17=FLOOR(F17,1),TRUE,FALSE)</f>
        <v>1</v>
      </c>
    </row>
    <row r="27" spans="1:9" x14ac:dyDescent="0.55000000000000004">
      <c r="A27" s="36"/>
      <c r="B27" s="1">
        <v>3</v>
      </c>
      <c r="C27" s="1" t="b">
        <f>IF(C18=FLOOR(C18,1),TRUE,FALSE)</f>
        <v>1</v>
      </c>
      <c r="D27" s="1" t="b">
        <f>IF(D18=FLOOR(D18,1),TRUE,FALSE)</f>
        <v>1</v>
      </c>
      <c r="E27" s="11"/>
      <c r="F27" s="1" t="b">
        <f>IF(F18=FLOOR(F18,1),TRUE,FALSE)</f>
        <v>1</v>
      </c>
    </row>
    <row r="28" spans="1:9" ht="15.6" customHeight="1" x14ac:dyDescent="0.55000000000000004">
      <c r="A28" s="36"/>
      <c r="B28" s="19">
        <v>4</v>
      </c>
      <c r="C28" s="1" t="b">
        <f>IF(C19=FLOOR(C19,1),TRUE,FALSE)</f>
        <v>1</v>
      </c>
      <c r="D28" s="1" t="b">
        <f>IF(D19=FLOOR(D19,1),TRUE,FALSE)</f>
        <v>1</v>
      </c>
      <c r="E28" s="1" t="b">
        <f>IF(E19=FLOOR(E19,1),TRUE,FALSE)</f>
        <v>1</v>
      </c>
      <c r="F28" s="11"/>
    </row>
    <row r="29" spans="1:9" x14ac:dyDescent="0.55000000000000004">
      <c r="A29" s="3"/>
      <c r="B29" s="4"/>
      <c r="C29" s="4"/>
      <c r="D29" s="4"/>
    </row>
    <row r="31" spans="1:9" x14ac:dyDescent="0.55000000000000004">
      <c r="A31" t="s">
        <v>2</v>
      </c>
      <c r="B31" s="37" t="s">
        <v>20</v>
      </c>
      <c r="C31" s="37"/>
      <c r="D31" s="37"/>
      <c r="E31" s="37"/>
      <c r="F31" s="33"/>
      <c r="G31" s="13"/>
      <c r="H31" s="13"/>
      <c r="I31" s="4"/>
    </row>
    <row r="32" spans="1:9" x14ac:dyDescent="0.55000000000000004">
      <c r="C32" s="38" t="s">
        <v>11</v>
      </c>
      <c r="D32" s="38"/>
      <c r="E32" s="38"/>
      <c r="F32" s="38"/>
      <c r="G32" s="4"/>
      <c r="H32" s="4"/>
      <c r="I32" s="4"/>
    </row>
    <row r="33" spans="1:10" x14ac:dyDescent="0.55000000000000004">
      <c r="C33" s="10">
        <v>1</v>
      </c>
      <c r="D33" s="10">
        <v>2</v>
      </c>
      <c r="E33" s="10">
        <v>3</v>
      </c>
      <c r="F33" s="20">
        <v>4</v>
      </c>
      <c r="G33" s="4"/>
      <c r="H33" s="4"/>
      <c r="I33" s="4"/>
    </row>
    <row r="34" spans="1:10" x14ac:dyDescent="0.55000000000000004">
      <c r="A34" s="36" t="s">
        <v>12</v>
      </c>
      <c r="B34" s="1">
        <v>1</v>
      </c>
      <c r="C34" s="11" t="s">
        <v>14</v>
      </c>
      <c r="D34" s="1">
        <v>1</v>
      </c>
      <c r="E34" s="1">
        <v>1</v>
      </c>
      <c r="F34" s="1">
        <v>1</v>
      </c>
      <c r="G34" s="4">
        <f>SUMPRODUCT(C34:F37,$C$16:$F$19)</f>
        <v>4</v>
      </c>
      <c r="H34" s="4" t="s">
        <v>15</v>
      </c>
      <c r="I34" s="14">
        <v>4</v>
      </c>
      <c r="J34" t="b">
        <f>IF(G34=I34,TRUE,FALSE)</f>
        <v>1</v>
      </c>
    </row>
    <row r="35" spans="1:10" x14ac:dyDescent="0.55000000000000004">
      <c r="A35" s="36"/>
      <c r="B35" s="1">
        <v>2</v>
      </c>
      <c r="C35" s="1">
        <v>1</v>
      </c>
      <c r="D35" s="11"/>
      <c r="E35" s="1">
        <v>1</v>
      </c>
      <c r="F35" s="1">
        <v>1</v>
      </c>
      <c r="G35" s="4"/>
      <c r="H35" s="4"/>
      <c r="I35" s="4"/>
    </row>
    <row r="36" spans="1:10" x14ac:dyDescent="0.55000000000000004">
      <c r="A36" s="36"/>
      <c r="B36" s="1">
        <v>3</v>
      </c>
      <c r="C36" s="1">
        <v>1</v>
      </c>
      <c r="D36" s="1">
        <v>1</v>
      </c>
      <c r="E36" s="11"/>
      <c r="F36" s="1">
        <v>1</v>
      </c>
      <c r="G36" s="14"/>
      <c r="H36" s="14"/>
      <c r="I36" s="4"/>
    </row>
    <row r="37" spans="1:10" x14ac:dyDescent="0.55000000000000004">
      <c r="A37" s="36"/>
      <c r="B37" s="19">
        <v>4</v>
      </c>
      <c r="C37" s="1">
        <v>1</v>
      </c>
      <c r="D37" s="1">
        <v>1</v>
      </c>
      <c r="E37" s="11"/>
      <c r="F37" s="1">
        <v>1</v>
      </c>
      <c r="G37" s="14"/>
      <c r="H37" s="14"/>
      <c r="I37" s="4"/>
    </row>
    <row r="38" spans="1:10" x14ac:dyDescent="0.55000000000000004">
      <c r="B38" s="4"/>
      <c r="C38" s="4"/>
      <c r="D38" s="4"/>
      <c r="E38" s="4"/>
      <c r="F38" s="4"/>
      <c r="G38" s="14"/>
      <c r="H38" s="14"/>
      <c r="I38" s="4"/>
    </row>
    <row r="39" spans="1:10" x14ac:dyDescent="0.55000000000000004">
      <c r="B39" s="37" t="s">
        <v>19</v>
      </c>
      <c r="C39" s="37"/>
      <c r="D39" s="37"/>
      <c r="E39" s="37"/>
      <c r="F39" s="33"/>
      <c r="G39" s="14"/>
      <c r="H39" s="14"/>
      <c r="I39" s="4"/>
    </row>
    <row r="40" spans="1:10" x14ac:dyDescent="0.55000000000000004">
      <c r="C40" s="38" t="s">
        <v>11</v>
      </c>
      <c r="D40" s="38"/>
      <c r="E40" s="38"/>
      <c r="F40" s="38"/>
      <c r="G40" s="14"/>
      <c r="H40" s="14"/>
      <c r="I40" s="4"/>
    </row>
    <row r="41" spans="1:10" x14ac:dyDescent="0.55000000000000004">
      <c r="C41" s="10">
        <v>1</v>
      </c>
      <c r="D41" s="10">
        <v>2</v>
      </c>
      <c r="E41" s="10">
        <v>3</v>
      </c>
      <c r="F41" s="20">
        <v>4</v>
      </c>
    </row>
    <row r="42" spans="1:10" x14ac:dyDescent="0.55000000000000004">
      <c r="A42" s="36" t="s">
        <v>12</v>
      </c>
      <c r="B42" s="1">
        <v>1</v>
      </c>
      <c r="C42" s="11"/>
      <c r="D42" s="1">
        <v>1</v>
      </c>
      <c r="E42" s="1"/>
      <c r="F42" s="1"/>
      <c r="G42" s="4">
        <f>SUMPRODUCT(C42:F45,$C$16:$F$19)</f>
        <v>2</v>
      </c>
      <c r="H42" s="17" t="s">
        <v>17</v>
      </c>
      <c r="I42" s="14">
        <v>2</v>
      </c>
      <c r="J42" t="b">
        <f>IF(G42&lt;=I42,TRUE,FALSE)</f>
        <v>1</v>
      </c>
    </row>
    <row r="43" spans="1:10" x14ac:dyDescent="0.55000000000000004">
      <c r="A43" s="36"/>
      <c r="B43" s="1">
        <v>2</v>
      </c>
      <c r="C43" s="1"/>
      <c r="D43" s="11"/>
      <c r="E43" s="1">
        <v>1</v>
      </c>
      <c r="F43" s="1"/>
    </row>
    <row r="44" spans="1:10" x14ac:dyDescent="0.55000000000000004">
      <c r="A44" s="36"/>
      <c r="B44" s="1">
        <v>3</v>
      </c>
      <c r="C44" s="1">
        <v>1</v>
      </c>
      <c r="D44" s="1"/>
      <c r="E44" s="11"/>
      <c r="F44" s="18"/>
    </row>
    <row r="45" spans="1:10" x14ac:dyDescent="0.55000000000000004">
      <c r="A45" s="36"/>
      <c r="B45" s="19">
        <v>4</v>
      </c>
      <c r="C45" s="1"/>
      <c r="D45" s="1"/>
      <c r="E45" s="18"/>
      <c r="F45" s="11"/>
    </row>
    <row r="47" spans="1:10" x14ac:dyDescent="0.55000000000000004">
      <c r="B47" s="37" t="s">
        <v>19</v>
      </c>
      <c r="C47" s="37"/>
      <c r="D47" s="37"/>
      <c r="E47" s="37"/>
      <c r="F47" s="33"/>
    </row>
    <row r="48" spans="1:10" x14ac:dyDescent="0.55000000000000004">
      <c r="C48" s="38" t="s">
        <v>11</v>
      </c>
      <c r="D48" s="38"/>
      <c r="E48" s="38"/>
      <c r="F48" s="38"/>
    </row>
    <row r="49" spans="1:10" x14ac:dyDescent="0.55000000000000004">
      <c r="C49" s="10">
        <v>1</v>
      </c>
      <c r="D49" s="10">
        <v>2</v>
      </c>
      <c r="E49" s="10">
        <v>3</v>
      </c>
      <c r="F49" s="20">
        <v>4</v>
      </c>
    </row>
    <row r="50" spans="1:10" x14ac:dyDescent="0.55000000000000004">
      <c r="A50" s="36" t="s">
        <v>12</v>
      </c>
      <c r="B50" s="1">
        <v>1</v>
      </c>
      <c r="C50" s="11" t="s">
        <v>14</v>
      </c>
      <c r="D50" s="1">
        <v>1</v>
      </c>
      <c r="E50" s="1"/>
      <c r="F50" s="1"/>
      <c r="G50" s="4">
        <f>SUMPRODUCT(C50:F53,$C$16:$F$19)</f>
        <v>0</v>
      </c>
      <c r="H50" s="17" t="s">
        <v>17</v>
      </c>
      <c r="I50" s="14">
        <v>2</v>
      </c>
      <c r="J50" t="b">
        <f>IF(G50&lt;=I50,TRUE,FALSE)</f>
        <v>1</v>
      </c>
    </row>
    <row r="51" spans="1:10" x14ac:dyDescent="0.55000000000000004">
      <c r="A51" s="36"/>
      <c r="B51" s="1">
        <v>2</v>
      </c>
      <c r="C51" s="1"/>
      <c r="D51" s="11"/>
      <c r="E51" s="1"/>
      <c r="F51" s="1">
        <v>1</v>
      </c>
    </row>
    <row r="52" spans="1:10" x14ac:dyDescent="0.55000000000000004">
      <c r="A52" s="36"/>
      <c r="B52" s="1">
        <v>3</v>
      </c>
      <c r="C52" s="1"/>
      <c r="D52" s="1"/>
      <c r="E52" s="11"/>
      <c r="F52" s="18"/>
    </row>
    <row r="53" spans="1:10" x14ac:dyDescent="0.55000000000000004">
      <c r="A53" s="36"/>
      <c r="B53" s="19">
        <v>4</v>
      </c>
      <c r="C53" s="1">
        <v>1</v>
      </c>
      <c r="D53" s="1"/>
      <c r="E53" s="18"/>
      <c r="F53" s="11"/>
    </row>
    <row r="55" spans="1:10" x14ac:dyDescent="0.55000000000000004">
      <c r="B55" s="37" t="s">
        <v>19</v>
      </c>
      <c r="C55" s="37"/>
      <c r="D55" s="37"/>
      <c r="E55" s="37"/>
      <c r="F55" s="33"/>
    </row>
    <row r="56" spans="1:10" x14ac:dyDescent="0.55000000000000004">
      <c r="C56" s="38" t="s">
        <v>11</v>
      </c>
      <c r="D56" s="38"/>
      <c r="E56" s="38"/>
      <c r="F56" s="38"/>
    </row>
    <row r="57" spans="1:10" x14ac:dyDescent="0.55000000000000004">
      <c r="C57" s="10">
        <v>1</v>
      </c>
      <c r="D57" s="10">
        <v>2</v>
      </c>
      <c r="E57" s="10">
        <v>3</v>
      </c>
      <c r="F57" s="20">
        <v>4</v>
      </c>
    </row>
    <row r="58" spans="1:10" x14ac:dyDescent="0.55000000000000004">
      <c r="A58" s="36" t="s">
        <v>12</v>
      </c>
      <c r="B58" s="1">
        <v>1</v>
      </c>
      <c r="C58" s="11" t="s">
        <v>14</v>
      </c>
      <c r="D58" s="1"/>
      <c r="E58" s="1">
        <v>1</v>
      </c>
      <c r="F58" s="1"/>
      <c r="G58" s="4">
        <f>SUMPRODUCT(C58:F61,$C$16:$F$19)</f>
        <v>0</v>
      </c>
      <c r="H58" s="17" t="s">
        <v>17</v>
      </c>
      <c r="I58" s="14">
        <v>2</v>
      </c>
      <c r="J58" t="b">
        <f>IF(G58&lt;=I58,TRUE,FALSE)</f>
        <v>1</v>
      </c>
    </row>
    <row r="59" spans="1:10" x14ac:dyDescent="0.55000000000000004">
      <c r="A59" s="36"/>
      <c r="B59" s="1">
        <v>2</v>
      </c>
      <c r="C59" s="1"/>
      <c r="D59" s="11"/>
      <c r="E59" s="1"/>
      <c r="F59" s="1"/>
    </row>
    <row r="60" spans="1:10" x14ac:dyDescent="0.55000000000000004">
      <c r="A60" s="36"/>
      <c r="B60" s="1">
        <v>3</v>
      </c>
      <c r="C60" s="1"/>
      <c r="D60" s="1"/>
      <c r="E60" s="11"/>
      <c r="F60" s="18">
        <v>1</v>
      </c>
    </row>
    <row r="61" spans="1:10" x14ac:dyDescent="0.55000000000000004">
      <c r="A61" s="36"/>
      <c r="B61" s="19">
        <v>4</v>
      </c>
      <c r="C61" s="1">
        <v>1</v>
      </c>
      <c r="D61" s="1"/>
      <c r="E61" s="18"/>
      <c r="F61" s="18"/>
    </row>
    <row r="62" spans="1:10" x14ac:dyDescent="0.55000000000000004">
      <c r="B62" s="4"/>
      <c r="C62" s="4"/>
      <c r="D62" s="4"/>
      <c r="E62" s="15"/>
      <c r="F62" s="15"/>
    </row>
    <row r="63" spans="1:10" x14ac:dyDescent="0.55000000000000004">
      <c r="B63" s="37" t="s">
        <v>19</v>
      </c>
      <c r="C63" s="37"/>
      <c r="D63" s="37"/>
      <c r="E63" s="37"/>
      <c r="F63" s="33"/>
    </row>
    <row r="64" spans="1:10" x14ac:dyDescent="0.55000000000000004">
      <c r="C64" s="38" t="s">
        <v>11</v>
      </c>
      <c r="D64" s="38"/>
      <c r="E64" s="38"/>
      <c r="F64" s="38"/>
    </row>
    <row r="65" spans="1:10" x14ac:dyDescent="0.55000000000000004">
      <c r="C65" s="10">
        <v>1</v>
      </c>
      <c r="D65" s="10">
        <v>2</v>
      </c>
      <c r="E65" s="10">
        <v>3</v>
      </c>
      <c r="F65" s="20">
        <v>4</v>
      </c>
    </row>
    <row r="66" spans="1:10" x14ac:dyDescent="0.55000000000000004">
      <c r="A66" s="36" t="s">
        <v>12</v>
      </c>
      <c r="B66" s="1">
        <v>1</v>
      </c>
      <c r="C66" s="11" t="s">
        <v>14</v>
      </c>
      <c r="D66" s="1"/>
      <c r="E66" s="1"/>
      <c r="F66" s="1"/>
      <c r="G66" s="4">
        <f>SUMPRODUCT(C66:F69,$C$16:$F$19)</f>
        <v>2</v>
      </c>
      <c r="H66" s="17" t="s">
        <v>17</v>
      </c>
      <c r="I66" s="14">
        <v>2</v>
      </c>
      <c r="J66" t="b">
        <f>IF(G66&lt;=I66,TRUE,FALSE)</f>
        <v>1</v>
      </c>
    </row>
    <row r="67" spans="1:10" x14ac:dyDescent="0.55000000000000004">
      <c r="A67" s="36"/>
      <c r="B67" s="1">
        <v>2</v>
      </c>
      <c r="C67" s="1"/>
      <c r="D67" s="11"/>
      <c r="E67" s="1">
        <v>1</v>
      </c>
      <c r="F67" s="1"/>
    </row>
    <row r="68" spans="1:10" x14ac:dyDescent="0.55000000000000004">
      <c r="A68" s="36"/>
      <c r="B68" s="1">
        <v>3</v>
      </c>
      <c r="C68" s="1"/>
      <c r="D68" s="1"/>
      <c r="E68" s="11"/>
      <c r="F68" s="18">
        <v>1</v>
      </c>
    </row>
    <row r="69" spans="1:10" x14ac:dyDescent="0.55000000000000004">
      <c r="A69" s="36"/>
      <c r="B69" s="19">
        <v>4</v>
      </c>
      <c r="C69" s="1"/>
      <c r="D69" s="1">
        <v>1</v>
      </c>
      <c r="E69" s="18"/>
      <c r="F69" s="18"/>
    </row>
    <row r="70" spans="1:10" x14ac:dyDescent="0.55000000000000004">
      <c r="B70" s="4"/>
      <c r="C70" s="4"/>
      <c r="D70" s="4"/>
      <c r="E70" s="4"/>
      <c r="F70" s="4"/>
      <c r="G70" s="14"/>
      <c r="H70" s="14"/>
      <c r="I70" s="4"/>
    </row>
    <row r="71" spans="1:10" x14ac:dyDescent="0.55000000000000004">
      <c r="B71" s="37" t="s">
        <v>19</v>
      </c>
      <c r="C71" s="37"/>
      <c r="D71" s="37"/>
      <c r="E71" s="37"/>
      <c r="F71" s="33"/>
      <c r="G71" s="14"/>
      <c r="H71" s="14"/>
      <c r="I71" s="4"/>
    </row>
    <row r="72" spans="1:10" x14ac:dyDescent="0.55000000000000004">
      <c r="C72" s="38" t="s">
        <v>11</v>
      </c>
      <c r="D72" s="38"/>
      <c r="E72" s="38"/>
      <c r="F72" s="38"/>
      <c r="G72" s="14"/>
      <c r="H72" s="14"/>
      <c r="I72" s="4"/>
    </row>
    <row r="73" spans="1:10" x14ac:dyDescent="0.55000000000000004">
      <c r="C73" s="10">
        <v>1</v>
      </c>
      <c r="D73" s="10">
        <v>2</v>
      </c>
      <c r="E73" s="10">
        <v>3</v>
      </c>
      <c r="F73" s="20">
        <v>4</v>
      </c>
    </row>
    <row r="74" spans="1:10" x14ac:dyDescent="0.55000000000000004">
      <c r="A74" s="36" t="s">
        <v>12</v>
      </c>
      <c r="B74" s="1">
        <v>1</v>
      </c>
      <c r="C74" s="11"/>
      <c r="D74" s="1"/>
      <c r="E74" s="1">
        <v>1</v>
      </c>
      <c r="F74" s="1"/>
      <c r="G74" s="4">
        <f>SUMPRODUCT(C74:F77,$C$16:$F$19)</f>
        <v>0</v>
      </c>
      <c r="H74" s="17" t="s">
        <v>17</v>
      </c>
      <c r="I74" s="14">
        <v>2</v>
      </c>
      <c r="J74" t="b">
        <f>IF(G74&lt;=I74,TRUE,FALSE)</f>
        <v>1</v>
      </c>
    </row>
    <row r="75" spans="1:10" x14ac:dyDescent="0.55000000000000004">
      <c r="A75" s="36"/>
      <c r="B75" s="1">
        <v>2</v>
      </c>
      <c r="C75" s="1">
        <v>1</v>
      </c>
      <c r="D75" s="11"/>
      <c r="E75" s="1"/>
      <c r="F75" s="1"/>
    </row>
    <row r="76" spans="1:10" x14ac:dyDescent="0.55000000000000004">
      <c r="A76" s="36"/>
      <c r="B76" s="1">
        <v>3</v>
      </c>
      <c r="C76" s="1"/>
      <c r="D76" s="1">
        <v>1</v>
      </c>
      <c r="E76" s="11"/>
      <c r="F76" s="18"/>
    </row>
    <row r="77" spans="1:10" x14ac:dyDescent="0.55000000000000004">
      <c r="A77" s="36"/>
      <c r="B77" s="19">
        <v>4</v>
      </c>
      <c r="C77" s="1"/>
      <c r="D77" s="1"/>
      <c r="E77" s="18"/>
      <c r="F77" s="11"/>
    </row>
    <row r="79" spans="1:10" x14ac:dyDescent="0.55000000000000004">
      <c r="B79" s="37" t="s">
        <v>19</v>
      </c>
      <c r="C79" s="37"/>
      <c r="D79" s="37"/>
      <c r="E79" s="37"/>
      <c r="F79" s="33"/>
    </row>
    <row r="80" spans="1:10" x14ac:dyDescent="0.55000000000000004">
      <c r="C80" s="38" t="s">
        <v>11</v>
      </c>
      <c r="D80" s="38"/>
      <c r="E80" s="38"/>
      <c r="F80" s="38"/>
    </row>
    <row r="81" spans="1:10" x14ac:dyDescent="0.55000000000000004">
      <c r="C81" s="10">
        <v>1</v>
      </c>
      <c r="D81" s="10">
        <v>2</v>
      </c>
      <c r="E81" s="10">
        <v>3</v>
      </c>
      <c r="F81" s="20">
        <v>4</v>
      </c>
    </row>
    <row r="82" spans="1:10" x14ac:dyDescent="0.55000000000000004">
      <c r="A82" s="36" t="s">
        <v>12</v>
      </c>
      <c r="B82" s="1">
        <v>1</v>
      </c>
      <c r="C82" s="11" t="s">
        <v>14</v>
      </c>
      <c r="D82" s="1"/>
      <c r="E82" s="1"/>
      <c r="F82" s="1">
        <v>1</v>
      </c>
      <c r="G82" s="4">
        <f>SUMPRODUCT(C82:F85,$C$16:$F$19)</f>
        <v>2</v>
      </c>
      <c r="H82" s="17" t="s">
        <v>17</v>
      </c>
      <c r="I82" s="14">
        <v>2</v>
      </c>
      <c r="J82" t="b">
        <f>IF(G82&lt;=I82,TRUE,FALSE)</f>
        <v>1</v>
      </c>
    </row>
    <row r="83" spans="1:10" x14ac:dyDescent="0.55000000000000004">
      <c r="A83" s="36"/>
      <c r="B83" s="1">
        <v>2</v>
      </c>
      <c r="C83" s="1">
        <v>1</v>
      </c>
      <c r="D83" s="11"/>
      <c r="E83" s="1"/>
      <c r="F83" s="1"/>
    </row>
    <row r="84" spans="1:10" x14ac:dyDescent="0.55000000000000004">
      <c r="A84" s="36"/>
      <c r="B84" s="1">
        <v>3</v>
      </c>
      <c r="C84" s="1"/>
      <c r="D84" s="1"/>
      <c r="E84" s="11"/>
      <c r="F84" s="18"/>
    </row>
    <row r="85" spans="1:10" x14ac:dyDescent="0.55000000000000004">
      <c r="A85" s="36"/>
      <c r="B85" s="19">
        <v>4</v>
      </c>
      <c r="C85" s="1"/>
      <c r="D85" s="1">
        <v>1</v>
      </c>
      <c r="E85" s="18"/>
      <c r="F85" s="11"/>
    </row>
    <row r="87" spans="1:10" x14ac:dyDescent="0.55000000000000004">
      <c r="B87" s="37" t="s">
        <v>19</v>
      </c>
      <c r="C87" s="37"/>
      <c r="D87" s="37"/>
      <c r="E87" s="37"/>
      <c r="F87" s="33"/>
    </row>
    <row r="88" spans="1:10" x14ac:dyDescent="0.55000000000000004">
      <c r="C88" s="38" t="s">
        <v>11</v>
      </c>
      <c r="D88" s="38"/>
      <c r="E88" s="38"/>
      <c r="F88" s="38"/>
    </row>
    <row r="89" spans="1:10" x14ac:dyDescent="0.55000000000000004">
      <c r="C89" s="10">
        <v>1</v>
      </c>
      <c r="D89" s="10">
        <v>2</v>
      </c>
      <c r="E89" s="10">
        <v>3</v>
      </c>
      <c r="F89" s="20">
        <v>4</v>
      </c>
    </row>
    <row r="90" spans="1:10" x14ac:dyDescent="0.55000000000000004">
      <c r="A90" s="36" t="s">
        <v>12</v>
      </c>
      <c r="B90" s="1">
        <v>1</v>
      </c>
      <c r="C90" s="11" t="s">
        <v>14</v>
      </c>
      <c r="D90" s="1"/>
      <c r="E90" s="1">
        <v>1</v>
      </c>
      <c r="F90" s="1"/>
      <c r="G90" s="4">
        <f>SUMPRODUCT(C90:F93,$C$16:$F$19)</f>
        <v>0</v>
      </c>
      <c r="H90" s="17" t="s">
        <v>17</v>
      </c>
      <c r="I90" s="14">
        <v>2</v>
      </c>
      <c r="J90" t="b">
        <f>IF(G90&lt;=I90,TRUE,FALSE)</f>
        <v>1</v>
      </c>
    </row>
    <row r="91" spans="1:10" x14ac:dyDescent="0.55000000000000004">
      <c r="A91" s="36"/>
      <c r="B91" s="1">
        <v>2</v>
      </c>
      <c r="C91" s="1"/>
      <c r="D91" s="11"/>
      <c r="E91" s="1"/>
      <c r="F91" s="1"/>
    </row>
    <row r="92" spans="1:10" x14ac:dyDescent="0.55000000000000004">
      <c r="A92" s="36"/>
      <c r="B92" s="1">
        <v>3</v>
      </c>
      <c r="C92" s="1"/>
      <c r="D92" s="1"/>
      <c r="E92" s="11"/>
      <c r="F92" s="18">
        <v>1</v>
      </c>
    </row>
    <row r="93" spans="1:10" x14ac:dyDescent="0.55000000000000004">
      <c r="A93" s="36"/>
      <c r="B93" s="19">
        <v>4</v>
      </c>
      <c r="C93" s="1">
        <v>1</v>
      </c>
      <c r="D93" s="1"/>
      <c r="E93" s="18"/>
      <c r="F93" s="18"/>
    </row>
    <row r="94" spans="1:10" x14ac:dyDescent="0.55000000000000004">
      <c r="B94" s="4"/>
      <c r="C94" s="4"/>
      <c r="D94" s="4"/>
      <c r="E94" s="15"/>
      <c r="F94" s="15"/>
    </row>
    <row r="95" spans="1:10" x14ac:dyDescent="0.55000000000000004">
      <c r="B95" s="37" t="s">
        <v>19</v>
      </c>
      <c r="C95" s="37"/>
      <c r="D95" s="37"/>
      <c r="E95" s="37"/>
      <c r="F95" s="33"/>
    </row>
    <row r="96" spans="1:10" x14ac:dyDescent="0.55000000000000004">
      <c r="C96" s="38" t="s">
        <v>11</v>
      </c>
      <c r="D96" s="38"/>
      <c r="E96" s="38"/>
      <c r="F96" s="38"/>
    </row>
    <row r="97" spans="1:10" x14ac:dyDescent="0.55000000000000004">
      <c r="C97" s="10">
        <v>1</v>
      </c>
      <c r="D97" s="10">
        <v>2</v>
      </c>
      <c r="E97" s="10">
        <v>3</v>
      </c>
      <c r="F97" s="20">
        <v>4</v>
      </c>
    </row>
    <row r="98" spans="1:10" x14ac:dyDescent="0.55000000000000004">
      <c r="A98" s="36" t="s">
        <v>12</v>
      </c>
      <c r="B98" s="1">
        <v>1</v>
      </c>
      <c r="C98" s="11" t="s">
        <v>14</v>
      </c>
      <c r="D98" s="1"/>
      <c r="E98" s="1"/>
      <c r="F98" s="1"/>
      <c r="G98" s="4">
        <f>SUMPRODUCT(C98:F101,$C$16:$F$19)</f>
        <v>0</v>
      </c>
      <c r="H98" s="17" t="s">
        <v>17</v>
      </c>
      <c r="I98" s="14">
        <v>2</v>
      </c>
      <c r="J98" t="b">
        <f>IF(G98&lt;=I98,TRUE,FALSE)</f>
        <v>1</v>
      </c>
    </row>
    <row r="99" spans="1:10" x14ac:dyDescent="0.55000000000000004">
      <c r="A99" s="36"/>
      <c r="B99" s="1">
        <v>2</v>
      </c>
      <c r="C99" s="1"/>
      <c r="D99" s="11"/>
      <c r="E99" s="1"/>
      <c r="F99" s="1">
        <v>1</v>
      </c>
    </row>
    <row r="100" spans="1:10" x14ac:dyDescent="0.55000000000000004">
      <c r="A100" s="36"/>
      <c r="B100" s="1">
        <v>3</v>
      </c>
      <c r="C100" s="1"/>
      <c r="D100" s="1">
        <v>1</v>
      </c>
      <c r="E100" s="11"/>
      <c r="F100" s="18"/>
    </row>
    <row r="101" spans="1:10" x14ac:dyDescent="0.55000000000000004">
      <c r="A101" s="36"/>
      <c r="B101" s="19">
        <v>4</v>
      </c>
      <c r="C101" s="1"/>
      <c r="D101" s="1"/>
      <c r="E101" s="18">
        <v>1</v>
      </c>
      <c r="F101" s="18"/>
    </row>
    <row r="102" spans="1:10" x14ac:dyDescent="0.55000000000000004">
      <c r="B102" s="4"/>
      <c r="C102" s="4"/>
      <c r="D102" s="4"/>
      <c r="E102" s="15"/>
      <c r="F102" s="15"/>
    </row>
    <row r="103" spans="1:10" x14ac:dyDescent="0.55000000000000004">
      <c r="B103" s="37" t="s">
        <v>16</v>
      </c>
      <c r="C103" s="37"/>
      <c r="D103" s="37"/>
      <c r="E103" s="37"/>
      <c r="F103" s="33"/>
    </row>
    <row r="104" spans="1:10" x14ac:dyDescent="0.55000000000000004">
      <c r="C104" s="38" t="s">
        <v>11</v>
      </c>
      <c r="D104" s="38"/>
      <c r="E104" s="38"/>
      <c r="F104" s="38"/>
    </row>
    <row r="105" spans="1:10" x14ac:dyDescent="0.55000000000000004">
      <c r="C105" s="10">
        <v>1</v>
      </c>
      <c r="D105" s="10">
        <v>2</v>
      </c>
      <c r="E105" s="10">
        <v>3</v>
      </c>
      <c r="F105" s="20">
        <v>4</v>
      </c>
    </row>
    <row r="106" spans="1:10" x14ac:dyDescent="0.55000000000000004">
      <c r="A106" s="36" t="s">
        <v>12</v>
      </c>
      <c r="B106" s="1">
        <v>1</v>
      </c>
      <c r="C106" s="11" t="s">
        <v>14</v>
      </c>
      <c r="D106" s="1">
        <v>1</v>
      </c>
      <c r="E106" s="1"/>
      <c r="F106" s="1"/>
      <c r="G106" s="4">
        <f>SUMPRODUCT(C106:F109,$C$16:$F$19)</f>
        <v>0</v>
      </c>
      <c r="H106" s="17" t="s">
        <v>17</v>
      </c>
      <c r="I106" s="14">
        <v>1</v>
      </c>
      <c r="J106" t="b">
        <f>IF(G106&lt;=I106,TRUE,FALSE)</f>
        <v>1</v>
      </c>
    </row>
    <row r="107" spans="1:10" x14ac:dyDescent="0.55000000000000004">
      <c r="A107" s="36"/>
      <c r="B107" s="1">
        <v>2</v>
      </c>
      <c r="C107" s="1">
        <v>1</v>
      </c>
      <c r="D107" s="11"/>
      <c r="E107" s="1"/>
      <c r="F107" s="1"/>
    </row>
    <row r="108" spans="1:10" x14ac:dyDescent="0.55000000000000004">
      <c r="A108" s="36"/>
      <c r="B108" s="1">
        <v>3</v>
      </c>
      <c r="C108" s="1"/>
      <c r="D108" s="1"/>
      <c r="E108" s="11"/>
      <c r="F108" s="18"/>
    </row>
    <row r="109" spans="1:10" x14ac:dyDescent="0.55000000000000004">
      <c r="A109" s="36"/>
      <c r="B109" s="19">
        <v>4</v>
      </c>
      <c r="C109" s="1"/>
      <c r="D109" s="1"/>
      <c r="E109" s="1"/>
      <c r="F109" s="1"/>
    </row>
    <row r="110" spans="1:10" x14ac:dyDescent="0.55000000000000004">
      <c r="B110" s="14"/>
    </row>
    <row r="111" spans="1:10" x14ac:dyDescent="0.55000000000000004">
      <c r="B111" s="37" t="s">
        <v>16</v>
      </c>
      <c r="C111" s="37"/>
      <c r="D111" s="37"/>
      <c r="E111" s="37"/>
      <c r="F111" s="33"/>
    </row>
    <row r="112" spans="1:10" x14ac:dyDescent="0.55000000000000004">
      <c r="C112" s="38" t="s">
        <v>11</v>
      </c>
      <c r="D112" s="38"/>
      <c r="E112" s="38"/>
      <c r="F112" s="38"/>
    </row>
    <row r="113" spans="1:10" x14ac:dyDescent="0.55000000000000004">
      <c r="C113" s="10">
        <v>1</v>
      </c>
      <c r="D113" s="10">
        <v>2</v>
      </c>
      <c r="E113" s="10">
        <v>3</v>
      </c>
      <c r="F113" s="20">
        <v>4</v>
      </c>
    </row>
    <row r="114" spans="1:10" x14ac:dyDescent="0.55000000000000004">
      <c r="A114" s="36" t="s">
        <v>12</v>
      </c>
      <c r="B114" s="1">
        <v>1</v>
      </c>
      <c r="C114" s="11" t="s">
        <v>14</v>
      </c>
      <c r="D114" s="1"/>
      <c r="E114" s="1">
        <v>1</v>
      </c>
      <c r="F114" s="1"/>
      <c r="G114" s="4">
        <f>SUMPRODUCT(C114:F117,$C$16:$F$19)</f>
        <v>1</v>
      </c>
      <c r="H114" s="17" t="s">
        <v>17</v>
      </c>
      <c r="I114" s="14">
        <v>1</v>
      </c>
      <c r="J114" t="b">
        <f>IF(G114&lt;=I114,TRUE,FALSE)</f>
        <v>1</v>
      </c>
    </row>
    <row r="115" spans="1:10" x14ac:dyDescent="0.55000000000000004">
      <c r="A115" s="36"/>
      <c r="B115" s="1">
        <v>2</v>
      </c>
      <c r="C115" s="1"/>
      <c r="D115" s="11"/>
      <c r="E115" s="1"/>
      <c r="F115" s="1"/>
    </row>
    <row r="116" spans="1:10" x14ac:dyDescent="0.55000000000000004">
      <c r="A116" s="36"/>
      <c r="B116" s="1">
        <v>3</v>
      </c>
      <c r="C116" s="1">
        <v>1</v>
      </c>
      <c r="D116" s="1"/>
      <c r="E116" s="11"/>
      <c r="F116" s="18"/>
    </row>
    <row r="117" spans="1:10" x14ac:dyDescent="0.55000000000000004">
      <c r="A117" s="36"/>
      <c r="B117" s="19">
        <v>4</v>
      </c>
      <c r="C117" s="1"/>
      <c r="D117" s="1"/>
      <c r="E117" s="1"/>
      <c r="F117" s="1"/>
    </row>
    <row r="118" spans="1:10" x14ac:dyDescent="0.55000000000000004">
      <c r="B118" s="14"/>
    </row>
    <row r="119" spans="1:10" x14ac:dyDescent="0.55000000000000004">
      <c r="B119" s="37" t="s">
        <v>16</v>
      </c>
      <c r="C119" s="37"/>
      <c r="D119" s="37"/>
      <c r="E119" s="37"/>
      <c r="F119" s="33"/>
    </row>
    <row r="120" spans="1:10" x14ac:dyDescent="0.55000000000000004">
      <c r="C120" s="38" t="s">
        <v>11</v>
      </c>
      <c r="D120" s="38"/>
      <c r="E120" s="38"/>
      <c r="F120" s="38"/>
    </row>
    <row r="121" spans="1:10" x14ac:dyDescent="0.55000000000000004">
      <c r="C121" s="10">
        <v>1</v>
      </c>
      <c r="D121" s="10">
        <v>2</v>
      </c>
      <c r="E121" s="10">
        <v>3</v>
      </c>
      <c r="F121" s="20">
        <v>4</v>
      </c>
    </row>
    <row r="122" spans="1:10" x14ac:dyDescent="0.55000000000000004">
      <c r="A122" s="36" t="s">
        <v>12</v>
      </c>
      <c r="B122" s="1">
        <v>1</v>
      </c>
      <c r="C122" s="11" t="s">
        <v>14</v>
      </c>
      <c r="D122" s="1"/>
      <c r="E122" s="1"/>
      <c r="F122" s="1">
        <v>1</v>
      </c>
      <c r="G122" s="4">
        <f>SUMPRODUCT(C122:F125,$C$16:$F$19)</f>
        <v>1</v>
      </c>
      <c r="H122" s="17" t="s">
        <v>17</v>
      </c>
      <c r="I122" s="14">
        <v>1</v>
      </c>
      <c r="J122" t="b">
        <f>IF(G122&lt;=I122,TRUE,FALSE)</f>
        <v>1</v>
      </c>
    </row>
    <row r="123" spans="1:10" x14ac:dyDescent="0.55000000000000004">
      <c r="A123" s="36"/>
      <c r="B123" s="1">
        <v>2</v>
      </c>
      <c r="C123" s="1"/>
      <c r="D123" s="11"/>
      <c r="E123" s="1"/>
      <c r="F123" s="1"/>
    </row>
    <row r="124" spans="1:10" x14ac:dyDescent="0.55000000000000004">
      <c r="A124" s="36"/>
      <c r="B124" s="1">
        <v>3</v>
      </c>
      <c r="C124" s="1"/>
      <c r="D124" s="1"/>
      <c r="E124" s="11"/>
      <c r="F124" s="18"/>
    </row>
    <row r="125" spans="1:10" x14ac:dyDescent="0.55000000000000004">
      <c r="A125" s="36"/>
      <c r="B125" s="19">
        <v>4</v>
      </c>
      <c r="C125" s="1">
        <v>1</v>
      </c>
      <c r="D125" s="1"/>
      <c r="E125" s="1"/>
      <c r="F125" s="1"/>
    </row>
    <row r="126" spans="1:10" x14ac:dyDescent="0.55000000000000004">
      <c r="A126" s="12"/>
      <c r="B126" s="14"/>
      <c r="C126" s="4"/>
      <c r="D126" s="4"/>
      <c r="E126" s="4"/>
      <c r="F126" s="4"/>
    </row>
    <row r="127" spans="1:10" x14ac:dyDescent="0.55000000000000004">
      <c r="B127" s="37" t="s">
        <v>16</v>
      </c>
      <c r="C127" s="37"/>
      <c r="D127" s="37"/>
      <c r="E127" s="37"/>
      <c r="F127" s="33"/>
    </row>
    <row r="128" spans="1:10" x14ac:dyDescent="0.55000000000000004">
      <c r="C128" s="38" t="s">
        <v>11</v>
      </c>
      <c r="D128" s="38"/>
      <c r="E128" s="38"/>
      <c r="F128" s="38"/>
    </row>
    <row r="129" spans="1:10" x14ac:dyDescent="0.55000000000000004">
      <c r="C129" s="10">
        <v>1</v>
      </c>
      <c r="D129" s="10">
        <v>2</v>
      </c>
      <c r="E129" s="10">
        <v>3</v>
      </c>
      <c r="F129" s="20">
        <v>4</v>
      </c>
    </row>
    <row r="130" spans="1:10" x14ac:dyDescent="0.55000000000000004">
      <c r="A130" s="36" t="s">
        <v>12</v>
      </c>
      <c r="B130" s="1">
        <v>1</v>
      </c>
      <c r="C130" s="11" t="s">
        <v>14</v>
      </c>
      <c r="D130" s="1"/>
      <c r="E130" s="1"/>
      <c r="F130" s="1"/>
      <c r="G130" s="4">
        <f>SUMPRODUCT(C130:F133,$C$16:$F$19)</f>
        <v>1</v>
      </c>
      <c r="H130" s="17" t="s">
        <v>17</v>
      </c>
      <c r="I130" s="14">
        <v>1</v>
      </c>
      <c r="J130" t="b">
        <f>IF(G130&lt;=I130,TRUE,FALSE)</f>
        <v>1</v>
      </c>
    </row>
    <row r="131" spans="1:10" x14ac:dyDescent="0.55000000000000004">
      <c r="A131" s="36"/>
      <c r="B131" s="1">
        <v>2</v>
      </c>
      <c r="C131" s="1"/>
      <c r="D131" s="11"/>
      <c r="E131" s="1">
        <v>1</v>
      </c>
      <c r="F131" s="1"/>
    </row>
    <row r="132" spans="1:10" x14ac:dyDescent="0.55000000000000004">
      <c r="A132" s="36"/>
      <c r="B132" s="1">
        <v>3</v>
      </c>
      <c r="C132" s="1"/>
      <c r="D132" s="1">
        <v>1</v>
      </c>
      <c r="E132" s="11"/>
      <c r="F132" s="18"/>
    </row>
    <row r="133" spans="1:10" x14ac:dyDescent="0.55000000000000004">
      <c r="A133" s="36"/>
      <c r="B133" s="19">
        <v>4</v>
      </c>
      <c r="C133" s="1"/>
      <c r="D133" s="1"/>
      <c r="E133" s="1"/>
      <c r="F133" s="1"/>
    </row>
    <row r="134" spans="1:10" x14ac:dyDescent="0.55000000000000004">
      <c r="A134" s="12"/>
      <c r="B134" s="14"/>
      <c r="C134" s="4"/>
      <c r="D134" s="4"/>
      <c r="E134" s="4"/>
      <c r="F134" s="4"/>
    </row>
    <row r="135" spans="1:10" x14ac:dyDescent="0.55000000000000004">
      <c r="B135" s="37" t="s">
        <v>16</v>
      </c>
      <c r="C135" s="37"/>
      <c r="D135" s="37"/>
      <c r="E135" s="37"/>
      <c r="F135" s="33"/>
    </row>
    <row r="136" spans="1:10" x14ac:dyDescent="0.55000000000000004">
      <c r="C136" s="38" t="s">
        <v>11</v>
      </c>
      <c r="D136" s="38"/>
      <c r="E136" s="38"/>
      <c r="F136" s="38"/>
    </row>
    <row r="137" spans="1:10" x14ac:dyDescent="0.55000000000000004">
      <c r="C137" s="10">
        <v>1</v>
      </c>
      <c r="D137" s="10">
        <v>2</v>
      </c>
      <c r="E137" s="10">
        <v>3</v>
      </c>
      <c r="F137" s="20">
        <v>4</v>
      </c>
    </row>
    <row r="138" spans="1:10" x14ac:dyDescent="0.55000000000000004">
      <c r="A138" s="36" t="s">
        <v>12</v>
      </c>
      <c r="B138" s="1">
        <v>1</v>
      </c>
      <c r="C138" s="11" t="s">
        <v>14</v>
      </c>
      <c r="D138" s="1"/>
      <c r="E138" s="1"/>
      <c r="F138" s="1"/>
      <c r="G138" s="4">
        <f>SUMPRODUCT(C138:F141,$C$16:$F$19)</f>
        <v>1</v>
      </c>
      <c r="H138" s="17" t="s">
        <v>17</v>
      </c>
      <c r="I138" s="14">
        <v>1</v>
      </c>
      <c r="J138" t="b">
        <f>IF(G138&lt;=I138,TRUE,FALSE)</f>
        <v>1</v>
      </c>
    </row>
    <row r="139" spans="1:10" x14ac:dyDescent="0.55000000000000004">
      <c r="A139" s="36"/>
      <c r="B139" s="1">
        <v>2</v>
      </c>
      <c r="C139" s="1"/>
      <c r="D139" s="11"/>
      <c r="E139" s="1"/>
      <c r="F139" s="1">
        <v>1</v>
      </c>
    </row>
    <row r="140" spans="1:10" x14ac:dyDescent="0.55000000000000004">
      <c r="A140" s="36"/>
      <c r="B140" s="1">
        <v>3</v>
      </c>
      <c r="C140" s="1"/>
      <c r="D140" s="1"/>
      <c r="E140" s="11"/>
      <c r="F140" s="18"/>
    </row>
    <row r="141" spans="1:10" x14ac:dyDescent="0.55000000000000004">
      <c r="A141" s="36"/>
      <c r="B141" s="19">
        <v>4</v>
      </c>
      <c r="C141" s="1"/>
      <c r="D141" s="1">
        <v>1</v>
      </c>
      <c r="E141" s="1"/>
      <c r="F141" s="1"/>
    </row>
    <row r="142" spans="1:10" x14ac:dyDescent="0.55000000000000004">
      <c r="A142" s="12"/>
      <c r="B142" s="14"/>
      <c r="C142" s="4"/>
      <c r="D142" s="4"/>
      <c r="E142" s="4"/>
      <c r="F142" s="4"/>
    </row>
    <row r="143" spans="1:10" x14ac:dyDescent="0.55000000000000004">
      <c r="B143" s="37" t="s">
        <v>16</v>
      </c>
      <c r="C143" s="37"/>
      <c r="D143" s="37"/>
      <c r="E143" s="37"/>
      <c r="F143" s="33"/>
    </row>
    <row r="144" spans="1:10" x14ac:dyDescent="0.55000000000000004">
      <c r="C144" s="38" t="s">
        <v>11</v>
      </c>
      <c r="D144" s="38"/>
      <c r="E144" s="38"/>
      <c r="F144" s="38"/>
    </row>
    <row r="145" spans="1:10" x14ac:dyDescent="0.55000000000000004">
      <c r="C145" s="10">
        <v>1</v>
      </c>
      <c r="D145" s="10">
        <v>2</v>
      </c>
      <c r="E145" s="10">
        <v>3</v>
      </c>
      <c r="F145" s="20">
        <v>4</v>
      </c>
    </row>
    <row r="146" spans="1:10" x14ac:dyDescent="0.55000000000000004">
      <c r="A146" s="36" t="s">
        <v>12</v>
      </c>
      <c r="B146" s="1">
        <v>1</v>
      </c>
      <c r="C146" s="11" t="s">
        <v>14</v>
      </c>
      <c r="D146" s="1"/>
      <c r="E146" s="1"/>
      <c r="F146" s="1"/>
      <c r="G146" s="4">
        <f>SUMPRODUCT(C146:F149,$C$16:$F$19)</f>
        <v>0</v>
      </c>
      <c r="H146" s="17" t="s">
        <v>17</v>
      </c>
      <c r="I146" s="14">
        <v>1</v>
      </c>
      <c r="J146" t="b">
        <f>IF(G146&lt;=I146,TRUE,FALSE)</f>
        <v>1</v>
      </c>
    </row>
    <row r="147" spans="1:10" x14ac:dyDescent="0.55000000000000004">
      <c r="A147" s="36"/>
      <c r="B147" s="1">
        <v>2</v>
      </c>
      <c r="C147" s="1"/>
      <c r="D147" s="11"/>
      <c r="E147" s="1"/>
      <c r="F147" s="1"/>
    </row>
    <row r="148" spans="1:10" x14ac:dyDescent="0.55000000000000004">
      <c r="A148" s="36"/>
      <c r="B148" s="1">
        <v>3</v>
      </c>
      <c r="C148" s="1"/>
      <c r="D148" s="1"/>
      <c r="E148" s="11"/>
      <c r="F148" s="18">
        <v>1</v>
      </c>
    </row>
    <row r="149" spans="1:10" x14ac:dyDescent="0.55000000000000004">
      <c r="A149" s="36"/>
      <c r="B149" s="19">
        <v>4</v>
      </c>
      <c r="C149" s="1"/>
      <c r="D149" s="1"/>
      <c r="E149" s="1">
        <v>1</v>
      </c>
      <c r="F149" s="1"/>
    </row>
    <row r="150" spans="1:10" x14ac:dyDescent="0.55000000000000004">
      <c r="A150" s="12"/>
      <c r="B150" s="14"/>
      <c r="C150" s="4"/>
      <c r="D150" s="4"/>
      <c r="E150" s="4"/>
      <c r="F150" s="4"/>
    </row>
    <row r="151" spans="1:10" x14ac:dyDescent="0.55000000000000004">
      <c r="A151" s="12"/>
      <c r="B151" s="14"/>
      <c r="C151" s="4"/>
      <c r="D151" s="4"/>
      <c r="E151" s="4"/>
      <c r="F151" s="4"/>
    </row>
    <row r="152" spans="1:10" x14ac:dyDescent="0.55000000000000004">
      <c r="A152" s="12"/>
      <c r="B152" s="14"/>
      <c r="C152" s="4" t="s">
        <v>26</v>
      </c>
      <c r="D152" s="4"/>
      <c r="E152" s="4"/>
      <c r="F152" s="4"/>
    </row>
    <row r="153" spans="1:10" x14ac:dyDescent="0.55000000000000004">
      <c r="C153" s="1">
        <f>C20</f>
        <v>1</v>
      </c>
      <c r="D153" s="1">
        <f t="shared" ref="D153:F153" si="4">D20</f>
        <v>1</v>
      </c>
      <c r="E153" s="1">
        <f t="shared" si="4"/>
        <v>1</v>
      </c>
      <c r="F153" s="1">
        <f t="shared" si="4"/>
        <v>1</v>
      </c>
    </row>
    <row r="154" spans="1:10" x14ac:dyDescent="0.55000000000000004">
      <c r="C154" s="34" t="s">
        <v>15</v>
      </c>
      <c r="D154" s="34" t="s">
        <v>15</v>
      </c>
      <c r="E154" s="34" t="s">
        <v>15</v>
      </c>
      <c r="F154" s="34" t="s">
        <v>15</v>
      </c>
    </row>
    <row r="155" spans="1:10" x14ac:dyDescent="0.55000000000000004">
      <c r="C155" s="1">
        <v>1</v>
      </c>
      <c r="D155" s="1">
        <v>1</v>
      </c>
      <c r="E155" s="1">
        <v>1</v>
      </c>
      <c r="F155" s="1">
        <v>1</v>
      </c>
    </row>
    <row r="156" spans="1:10" x14ac:dyDescent="0.55000000000000004">
      <c r="C156" s="4"/>
      <c r="D156" s="4"/>
      <c r="E156" s="4"/>
      <c r="F156" s="4"/>
    </row>
    <row r="157" spans="1:10" x14ac:dyDescent="0.55000000000000004">
      <c r="C157" t="s">
        <v>27</v>
      </c>
    </row>
    <row r="158" spans="1:10" x14ac:dyDescent="0.55000000000000004">
      <c r="C158" s="1">
        <f>G16</f>
        <v>1</v>
      </c>
      <c r="D158" s="34" t="s">
        <v>15</v>
      </c>
      <c r="E158" s="1">
        <v>1</v>
      </c>
    </row>
    <row r="159" spans="1:10" x14ac:dyDescent="0.55000000000000004">
      <c r="C159" s="1">
        <f>G17</f>
        <v>1</v>
      </c>
      <c r="D159" s="34" t="s">
        <v>15</v>
      </c>
      <c r="E159" s="1">
        <v>1</v>
      </c>
    </row>
    <row r="160" spans="1:10" x14ac:dyDescent="0.55000000000000004">
      <c r="C160" s="1">
        <f>G18</f>
        <v>1</v>
      </c>
      <c r="D160" s="34" t="s">
        <v>15</v>
      </c>
      <c r="E160" s="1">
        <v>1</v>
      </c>
    </row>
    <row r="161" spans="3:5" x14ac:dyDescent="0.55000000000000004">
      <c r="C161" s="1">
        <f>G19</f>
        <v>1</v>
      </c>
      <c r="D161" s="34" t="s">
        <v>15</v>
      </c>
      <c r="E161" s="1">
        <v>1</v>
      </c>
    </row>
  </sheetData>
  <mergeCells count="55">
    <mergeCell ref="A146:A149"/>
    <mergeCell ref="A130:A133"/>
    <mergeCell ref="B135:E135"/>
    <mergeCell ref="C136:F136"/>
    <mergeCell ref="A138:A141"/>
    <mergeCell ref="B143:E143"/>
    <mergeCell ref="C144:F144"/>
    <mergeCell ref="A114:A117"/>
    <mergeCell ref="B119:E119"/>
    <mergeCell ref="C120:F120"/>
    <mergeCell ref="A122:A125"/>
    <mergeCell ref="B127:E127"/>
    <mergeCell ref="C128:F128"/>
    <mergeCell ref="A98:A101"/>
    <mergeCell ref="B103:E103"/>
    <mergeCell ref="C104:F104"/>
    <mergeCell ref="A106:A109"/>
    <mergeCell ref="B111:E111"/>
    <mergeCell ref="C112:F112"/>
    <mergeCell ref="A82:A85"/>
    <mergeCell ref="B87:E87"/>
    <mergeCell ref="C88:F88"/>
    <mergeCell ref="A90:A93"/>
    <mergeCell ref="B95:E95"/>
    <mergeCell ref="C96:F96"/>
    <mergeCell ref="A66:A69"/>
    <mergeCell ref="B71:E71"/>
    <mergeCell ref="C72:F72"/>
    <mergeCell ref="A74:A77"/>
    <mergeCell ref="B79:E79"/>
    <mergeCell ref="C80:F80"/>
    <mergeCell ref="A50:A53"/>
    <mergeCell ref="B55:E55"/>
    <mergeCell ref="C56:F56"/>
    <mergeCell ref="A58:A61"/>
    <mergeCell ref="B63:E63"/>
    <mergeCell ref="C64:F64"/>
    <mergeCell ref="A34:A37"/>
    <mergeCell ref="B39:E39"/>
    <mergeCell ref="C40:F40"/>
    <mergeCell ref="A42:A45"/>
    <mergeCell ref="B47:E47"/>
    <mergeCell ref="C48:F48"/>
    <mergeCell ref="A16:A19"/>
    <mergeCell ref="A23:A24"/>
    <mergeCell ref="C23:F23"/>
    <mergeCell ref="A25:A28"/>
    <mergeCell ref="B31:E31"/>
    <mergeCell ref="C32:F32"/>
    <mergeCell ref="D1:O3"/>
    <mergeCell ref="A6:B6"/>
    <mergeCell ref="C6:F6"/>
    <mergeCell ref="A8:A11"/>
    <mergeCell ref="A14:A15"/>
    <mergeCell ref="C14:F14"/>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61"/>
  <sheetViews>
    <sheetView topLeftCell="A4" zoomScale="120" zoomScaleNormal="120" workbookViewId="0">
      <selection activeCell="E19" sqref="E19"/>
    </sheetView>
  </sheetViews>
  <sheetFormatPr defaultRowHeight="15.3" x14ac:dyDescent="0.55000000000000004"/>
  <cols>
    <col min="1" max="1" width="17.59765625" customWidth="1"/>
    <col min="2" max="2" width="8.75" customWidth="1"/>
    <col min="5" max="6" width="10.25" customWidth="1"/>
    <col min="7" max="7" width="5" customWidth="1"/>
    <col min="8" max="8" width="6.84765625" customWidth="1"/>
    <col min="9" max="9" width="4.5" customWidth="1"/>
    <col min="12" max="12" width="11.59765625" customWidth="1"/>
  </cols>
  <sheetData>
    <row r="1" spans="1:15" ht="31.5" customHeight="1" x14ac:dyDescent="0.55000000000000004">
      <c r="A1" s="32" t="s">
        <v>0</v>
      </c>
      <c r="B1" s="1">
        <f>SUMPRODUCT(C8:F11,C16:F19)</f>
        <v>38.5</v>
      </c>
      <c r="D1" s="41" t="s">
        <v>18</v>
      </c>
      <c r="E1" s="41"/>
      <c r="F1" s="41"/>
      <c r="G1" s="41"/>
      <c r="H1" s="41"/>
      <c r="I1" s="41"/>
      <c r="J1" s="41"/>
      <c r="K1" s="41"/>
      <c r="L1" s="41"/>
      <c r="M1" s="41"/>
      <c r="N1" s="41"/>
      <c r="O1" s="41"/>
    </row>
    <row r="2" spans="1:15" ht="23.25" customHeight="1" x14ac:dyDescent="0.55000000000000004">
      <c r="A2" s="32" t="s">
        <v>3</v>
      </c>
      <c r="B2" s="1">
        <f>CEILING(B1,1)</f>
        <v>39</v>
      </c>
      <c r="D2" s="41"/>
      <c r="E2" s="41"/>
      <c r="F2" s="41"/>
      <c r="G2" s="41"/>
      <c r="H2" s="41"/>
      <c r="I2" s="41"/>
      <c r="J2" s="41"/>
      <c r="K2" s="41"/>
      <c r="L2" s="41"/>
      <c r="M2" s="41"/>
      <c r="N2" s="41"/>
      <c r="O2" s="41"/>
    </row>
    <row r="3" spans="1:15" ht="23.25" customHeight="1" x14ac:dyDescent="0.55000000000000004">
      <c r="A3" s="32" t="s">
        <v>23</v>
      </c>
      <c r="B3" s="1" t="b">
        <f>IF(AND(D25,E25,E26,C26,C27,D27,F25,F26,F27,C28,D28,E28),TRUE,FALSE)</f>
        <v>1</v>
      </c>
      <c r="D3" s="41"/>
      <c r="E3" s="41"/>
      <c r="F3" s="41"/>
      <c r="G3" s="41"/>
      <c r="H3" s="41"/>
      <c r="I3" s="41"/>
      <c r="J3" s="41"/>
      <c r="K3" s="41"/>
      <c r="L3" s="41"/>
      <c r="M3" s="41"/>
      <c r="N3" s="41"/>
      <c r="O3" s="41"/>
    </row>
    <row r="4" spans="1:15" ht="23.25" customHeight="1" x14ac:dyDescent="0.55000000000000004">
      <c r="A4" s="32" t="s">
        <v>22</v>
      </c>
      <c r="B4" s="1" t="b">
        <f>AND(H16:H19,C21:F21,J34,J42,J50,J58,J66,J74,J82,J90,J98,J106,J114,J122,J130,J138,J146)</f>
        <v>1</v>
      </c>
      <c r="D4" s="27"/>
      <c r="E4" s="27"/>
      <c r="F4" s="27"/>
      <c r="G4" s="27"/>
      <c r="H4" s="27"/>
      <c r="I4" s="27"/>
      <c r="J4" s="27"/>
      <c r="K4" s="27"/>
      <c r="L4" s="27"/>
      <c r="M4" s="27"/>
      <c r="N4" s="27"/>
      <c r="O4" s="27"/>
    </row>
    <row r="5" spans="1:15" x14ac:dyDescent="0.55000000000000004">
      <c r="A5" s="3"/>
      <c r="B5" s="4"/>
    </row>
    <row r="6" spans="1:15" ht="31.5" customHeight="1" x14ac:dyDescent="0.55000000000000004">
      <c r="A6" s="42" t="s">
        <v>21</v>
      </c>
      <c r="B6" s="42"/>
      <c r="C6" s="38" t="s">
        <v>11</v>
      </c>
      <c r="D6" s="38"/>
      <c r="E6" s="38"/>
      <c r="F6" s="38"/>
    </row>
    <row r="7" spans="1:15" x14ac:dyDescent="0.55000000000000004">
      <c r="A7" s="4"/>
      <c r="B7" s="35"/>
      <c r="C7" s="6">
        <v>1</v>
      </c>
      <c r="D7" s="6">
        <v>2</v>
      </c>
      <c r="E7" s="6">
        <v>3</v>
      </c>
      <c r="F7" s="6">
        <v>4</v>
      </c>
    </row>
    <row r="8" spans="1:15" x14ac:dyDescent="0.55000000000000004">
      <c r="A8" s="36" t="s">
        <v>12</v>
      </c>
      <c r="B8" s="5">
        <v>1</v>
      </c>
      <c r="C8" s="11"/>
      <c r="D8" s="6">
        <v>9.5</v>
      </c>
      <c r="E8" s="6">
        <v>12</v>
      </c>
      <c r="F8" s="6">
        <v>10</v>
      </c>
    </row>
    <row r="9" spans="1:15" x14ac:dyDescent="0.55000000000000004">
      <c r="A9" s="36"/>
      <c r="B9" s="5">
        <v>2</v>
      </c>
      <c r="C9" s="6">
        <v>6</v>
      </c>
      <c r="D9" s="11"/>
      <c r="E9" s="6">
        <v>10</v>
      </c>
      <c r="F9" s="6">
        <v>14</v>
      </c>
    </row>
    <row r="10" spans="1:15" x14ac:dyDescent="0.55000000000000004">
      <c r="A10" s="36"/>
      <c r="B10" s="5">
        <v>3</v>
      </c>
      <c r="C10" s="6">
        <v>10</v>
      </c>
      <c r="D10" s="6">
        <v>11</v>
      </c>
      <c r="E10" s="11"/>
      <c r="F10" s="6">
        <v>12</v>
      </c>
    </row>
    <row r="11" spans="1:15" x14ac:dyDescent="0.55000000000000004">
      <c r="A11" s="36"/>
      <c r="B11" s="5">
        <v>4</v>
      </c>
      <c r="C11" s="6">
        <v>7</v>
      </c>
      <c r="D11" s="6">
        <v>8</v>
      </c>
      <c r="E11" s="6">
        <v>15</v>
      </c>
      <c r="F11" s="11"/>
    </row>
    <row r="12" spans="1:15" x14ac:dyDescent="0.55000000000000004">
      <c r="A12" s="3"/>
      <c r="B12" s="4"/>
    </row>
    <row r="13" spans="1:15" x14ac:dyDescent="0.55000000000000004">
      <c r="A13" s="7" t="s">
        <v>4</v>
      </c>
    </row>
    <row r="14" spans="1:15" x14ac:dyDescent="0.55000000000000004">
      <c r="A14" s="39" t="s">
        <v>1</v>
      </c>
      <c r="C14" s="38" t="s">
        <v>11</v>
      </c>
      <c r="D14" s="38"/>
      <c r="E14" s="38"/>
      <c r="F14" s="38"/>
    </row>
    <row r="15" spans="1:15" x14ac:dyDescent="0.55000000000000004">
      <c r="A15" s="40"/>
      <c r="C15" s="24">
        <v>1</v>
      </c>
      <c r="D15" s="24">
        <v>2</v>
      </c>
      <c r="E15" s="24">
        <v>3</v>
      </c>
      <c r="F15" s="25">
        <v>4</v>
      </c>
    </row>
    <row r="16" spans="1:15" x14ac:dyDescent="0.55000000000000004">
      <c r="A16" s="36" t="s">
        <v>12</v>
      </c>
      <c r="B16" s="22">
        <v>1</v>
      </c>
      <c r="C16" s="11">
        <v>0</v>
      </c>
      <c r="D16" s="43">
        <v>1</v>
      </c>
      <c r="E16" s="1">
        <v>0</v>
      </c>
      <c r="F16" s="1">
        <v>0</v>
      </c>
      <c r="G16" s="28">
        <f>SUM(C16:F16)</f>
        <v>1</v>
      </c>
      <c r="H16" s="1" t="b">
        <f>IF(G16=1,TRUE,FALSE)</f>
        <v>1</v>
      </c>
    </row>
    <row r="17" spans="1:9" x14ac:dyDescent="0.55000000000000004">
      <c r="A17" s="36"/>
      <c r="B17" s="22">
        <v>2</v>
      </c>
      <c r="C17" s="1">
        <v>0</v>
      </c>
      <c r="D17" s="11">
        <v>0</v>
      </c>
      <c r="E17" s="1">
        <v>1</v>
      </c>
      <c r="F17" s="1">
        <v>0</v>
      </c>
      <c r="G17" s="28">
        <f t="shared" ref="G17:G19" si="0">SUM(C17:F17)</f>
        <v>1</v>
      </c>
      <c r="H17" s="1" t="b">
        <f t="shared" ref="H17:H19" si="1">IF(G17=1,TRUE,FALSE)</f>
        <v>1</v>
      </c>
    </row>
    <row r="18" spans="1:9" x14ac:dyDescent="0.55000000000000004">
      <c r="A18" s="36"/>
      <c r="B18" s="22">
        <v>3</v>
      </c>
      <c r="C18" s="1">
        <v>0</v>
      </c>
      <c r="D18" s="1">
        <v>0</v>
      </c>
      <c r="E18" s="11">
        <v>0</v>
      </c>
      <c r="F18" s="18">
        <v>1</v>
      </c>
      <c r="G18" s="28">
        <f t="shared" si="0"/>
        <v>1</v>
      </c>
      <c r="H18" s="1" t="b">
        <f t="shared" si="1"/>
        <v>1</v>
      </c>
    </row>
    <row r="19" spans="1:9" x14ac:dyDescent="0.55000000000000004">
      <c r="A19" s="36"/>
      <c r="B19" s="23">
        <v>4</v>
      </c>
      <c r="C19" s="1">
        <v>1</v>
      </c>
      <c r="D19" s="1">
        <v>0</v>
      </c>
      <c r="E19" s="18">
        <v>0</v>
      </c>
      <c r="F19" s="11">
        <v>0</v>
      </c>
      <c r="G19" s="28">
        <f t="shared" si="0"/>
        <v>1</v>
      </c>
      <c r="H19" s="1" t="b">
        <f t="shared" si="1"/>
        <v>1</v>
      </c>
    </row>
    <row r="20" spans="1:9" x14ac:dyDescent="0.55000000000000004">
      <c r="A20" s="12"/>
      <c r="B20" s="4"/>
      <c r="C20" s="29">
        <f>SUM(C16:C19)</f>
        <v>1</v>
      </c>
      <c r="D20" s="29">
        <f t="shared" ref="D20:F20" si="2">SUM(D16:D19)</f>
        <v>1</v>
      </c>
      <c r="E20" s="29">
        <f t="shared" si="2"/>
        <v>1</v>
      </c>
      <c r="F20" s="29">
        <f t="shared" si="2"/>
        <v>1</v>
      </c>
    </row>
    <row r="21" spans="1:9" x14ac:dyDescent="0.55000000000000004">
      <c r="A21" s="12"/>
      <c r="B21" s="4"/>
      <c r="C21" s="1" t="b">
        <f>IF(C20=1,TRUE,FALSE)</f>
        <v>1</v>
      </c>
      <c r="D21" s="1" t="b">
        <f t="shared" ref="D21:F21" si="3">IF(D20=1,TRUE,FALSE)</f>
        <v>1</v>
      </c>
      <c r="E21" s="1" t="b">
        <f t="shared" si="3"/>
        <v>1</v>
      </c>
      <c r="F21" s="1" t="b">
        <f t="shared" si="3"/>
        <v>1</v>
      </c>
    </row>
    <row r="22" spans="1:9" x14ac:dyDescent="0.55000000000000004">
      <c r="A22" s="12"/>
      <c r="B22" s="4"/>
      <c r="C22" s="4"/>
      <c r="D22" s="4"/>
      <c r="E22" s="15"/>
      <c r="F22" s="15"/>
    </row>
    <row r="23" spans="1:9" x14ac:dyDescent="0.55000000000000004">
      <c r="A23" s="39" t="s">
        <v>13</v>
      </c>
      <c r="C23" s="38" t="s">
        <v>11</v>
      </c>
      <c r="D23" s="38"/>
      <c r="E23" s="38"/>
      <c r="F23" s="38"/>
    </row>
    <row r="24" spans="1:9" x14ac:dyDescent="0.55000000000000004">
      <c r="A24" s="40"/>
      <c r="C24" s="24">
        <v>1</v>
      </c>
      <c r="D24" s="24">
        <v>2</v>
      </c>
      <c r="E24" s="24">
        <v>3</v>
      </c>
      <c r="F24" s="25">
        <v>4</v>
      </c>
    </row>
    <row r="25" spans="1:9" x14ac:dyDescent="0.55000000000000004">
      <c r="A25" s="36" t="s">
        <v>12</v>
      </c>
      <c r="B25" s="1">
        <v>1</v>
      </c>
      <c r="C25" s="11"/>
      <c r="D25" s="1" t="b">
        <f>IF(D16=FLOOR(D16,1),TRUE,FALSE)</f>
        <v>1</v>
      </c>
      <c r="E25" s="1" t="b">
        <f>IF(E16=FLOOR(E16,1),TRUE,FALSE)</f>
        <v>1</v>
      </c>
      <c r="F25" s="1" t="b">
        <f>IF(F16=FLOOR(F16,1),TRUE,FALSE)</f>
        <v>1</v>
      </c>
    </row>
    <row r="26" spans="1:9" x14ac:dyDescent="0.55000000000000004">
      <c r="A26" s="36"/>
      <c r="B26" s="1">
        <v>2</v>
      </c>
      <c r="C26" s="1" t="b">
        <f>IF(C17=FLOOR(C17,1),TRUE,FALSE)</f>
        <v>1</v>
      </c>
      <c r="D26" s="11"/>
      <c r="E26" s="1" t="b">
        <f>IF(E17=FLOOR(E17,1),TRUE,FALSE)</f>
        <v>1</v>
      </c>
      <c r="F26" s="1" t="b">
        <f>IF(F17=FLOOR(F17,1),TRUE,FALSE)</f>
        <v>1</v>
      </c>
    </row>
    <row r="27" spans="1:9" x14ac:dyDescent="0.55000000000000004">
      <c r="A27" s="36"/>
      <c r="B27" s="1">
        <v>3</v>
      </c>
      <c r="C27" s="1" t="b">
        <f>IF(C18=FLOOR(C18,1),TRUE,FALSE)</f>
        <v>1</v>
      </c>
      <c r="D27" s="1" t="b">
        <f>IF(D18=FLOOR(D18,1),TRUE,FALSE)</f>
        <v>1</v>
      </c>
      <c r="E27" s="11"/>
      <c r="F27" s="1" t="b">
        <f>IF(F18=FLOOR(F18,1),TRUE,FALSE)</f>
        <v>1</v>
      </c>
    </row>
    <row r="28" spans="1:9" ht="15.6" customHeight="1" x14ac:dyDescent="0.55000000000000004">
      <c r="A28" s="36"/>
      <c r="B28" s="19">
        <v>4</v>
      </c>
      <c r="C28" s="1" t="b">
        <f>IF(C19=FLOOR(C19,1),TRUE,FALSE)</f>
        <v>1</v>
      </c>
      <c r="D28" s="1" t="b">
        <f>IF(D19=FLOOR(D19,1),TRUE,FALSE)</f>
        <v>1</v>
      </c>
      <c r="E28" s="1" t="b">
        <f>IF(E19=FLOOR(E19,1),TRUE,FALSE)</f>
        <v>1</v>
      </c>
      <c r="F28" s="11"/>
    </row>
    <row r="29" spans="1:9" x14ac:dyDescent="0.55000000000000004">
      <c r="A29" s="3"/>
      <c r="B29" s="4"/>
      <c r="C29" s="4"/>
      <c r="D29" s="4"/>
    </row>
    <row r="31" spans="1:9" x14ac:dyDescent="0.55000000000000004">
      <c r="A31" t="s">
        <v>2</v>
      </c>
      <c r="B31" s="37" t="s">
        <v>20</v>
      </c>
      <c r="C31" s="37"/>
      <c r="D31" s="37"/>
      <c r="E31" s="37"/>
      <c r="F31" s="33"/>
      <c r="G31" s="13"/>
      <c r="H31" s="13"/>
      <c r="I31" s="4"/>
    </row>
    <row r="32" spans="1:9" x14ac:dyDescent="0.55000000000000004">
      <c r="C32" s="38" t="s">
        <v>11</v>
      </c>
      <c r="D32" s="38"/>
      <c r="E32" s="38"/>
      <c r="F32" s="38"/>
      <c r="G32" s="4"/>
      <c r="H32" s="4"/>
      <c r="I32" s="4"/>
    </row>
    <row r="33" spans="1:10" x14ac:dyDescent="0.55000000000000004">
      <c r="C33" s="10">
        <v>1</v>
      </c>
      <c r="D33" s="10">
        <v>2</v>
      </c>
      <c r="E33" s="10">
        <v>3</v>
      </c>
      <c r="F33" s="20">
        <v>4</v>
      </c>
      <c r="G33" s="4"/>
      <c r="H33" s="4"/>
      <c r="I33" s="4"/>
    </row>
    <row r="34" spans="1:10" x14ac:dyDescent="0.55000000000000004">
      <c r="A34" s="36" t="s">
        <v>12</v>
      </c>
      <c r="B34" s="1">
        <v>1</v>
      </c>
      <c r="C34" s="11" t="s">
        <v>14</v>
      </c>
      <c r="D34" s="1">
        <v>1</v>
      </c>
      <c r="E34" s="1">
        <v>1</v>
      </c>
      <c r="F34" s="1">
        <v>1</v>
      </c>
      <c r="G34" s="4">
        <f>SUMPRODUCT(C34:F37,$C$16:$F$19)</f>
        <v>4</v>
      </c>
      <c r="H34" s="4" t="s">
        <v>15</v>
      </c>
      <c r="I34" s="14">
        <v>4</v>
      </c>
      <c r="J34" t="b">
        <f>IF(G34=I34,TRUE,FALSE)</f>
        <v>1</v>
      </c>
    </row>
    <row r="35" spans="1:10" x14ac:dyDescent="0.55000000000000004">
      <c r="A35" s="36"/>
      <c r="B35" s="1">
        <v>2</v>
      </c>
      <c r="C35" s="1">
        <v>1</v>
      </c>
      <c r="D35" s="11"/>
      <c r="E35" s="1">
        <v>1</v>
      </c>
      <c r="F35" s="1">
        <v>1</v>
      </c>
      <c r="G35" s="4"/>
      <c r="H35" s="4"/>
      <c r="I35" s="4"/>
    </row>
    <row r="36" spans="1:10" x14ac:dyDescent="0.55000000000000004">
      <c r="A36" s="36"/>
      <c r="B36" s="1">
        <v>3</v>
      </c>
      <c r="C36" s="1">
        <v>1</v>
      </c>
      <c r="D36" s="1">
        <v>1</v>
      </c>
      <c r="E36" s="11"/>
      <c r="F36" s="1">
        <v>1</v>
      </c>
      <c r="G36" s="14"/>
      <c r="H36" s="14"/>
      <c r="I36" s="4"/>
    </row>
    <row r="37" spans="1:10" x14ac:dyDescent="0.55000000000000004">
      <c r="A37" s="36"/>
      <c r="B37" s="19">
        <v>4</v>
      </c>
      <c r="C37" s="1">
        <v>1</v>
      </c>
      <c r="D37" s="1">
        <v>1</v>
      </c>
      <c r="E37" s="11"/>
      <c r="F37" s="1">
        <v>1</v>
      </c>
      <c r="G37" s="14"/>
      <c r="H37" s="14"/>
      <c r="I37" s="4"/>
    </row>
    <row r="38" spans="1:10" x14ac:dyDescent="0.55000000000000004">
      <c r="B38" s="4"/>
      <c r="C38" s="4"/>
      <c r="D38" s="4"/>
      <c r="E38" s="4"/>
      <c r="F38" s="4"/>
      <c r="G38" s="14"/>
      <c r="H38" s="14"/>
      <c r="I38" s="4"/>
    </row>
    <row r="39" spans="1:10" x14ac:dyDescent="0.55000000000000004">
      <c r="B39" s="37" t="s">
        <v>19</v>
      </c>
      <c r="C39" s="37"/>
      <c r="D39" s="37"/>
      <c r="E39" s="37"/>
      <c r="F39" s="33"/>
      <c r="G39" s="14"/>
      <c r="H39" s="14"/>
      <c r="I39" s="4"/>
    </row>
    <row r="40" spans="1:10" x14ac:dyDescent="0.55000000000000004">
      <c r="C40" s="38" t="s">
        <v>11</v>
      </c>
      <c r="D40" s="38"/>
      <c r="E40" s="38"/>
      <c r="F40" s="38"/>
      <c r="G40" s="14"/>
      <c r="H40" s="14"/>
      <c r="I40" s="4"/>
    </row>
    <row r="41" spans="1:10" x14ac:dyDescent="0.55000000000000004">
      <c r="C41" s="10">
        <v>1</v>
      </c>
      <c r="D41" s="10">
        <v>2</v>
      </c>
      <c r="E41" s="10">
        <v>3</v>
      </c>
      <c r="F41" s="20">
        <v>4</v>
      </c>
    </row>
    <row r="42" spans="1:10" x14ac:dyDescent="0.55000000000000004">
      <c r="A42" s="36" t="s">
        <v>12</v>
      </c>
      <c r="B42" s="1">
        <v>1</v>
      </c>
      <c r="C42" s="11"/>
      <c r="D42" s="1">
        <v>1</v>
      </c>
      <c r="E42" s="1"/>
      <c r="F42" s="1"/>
      <c r="G42" s="4">
        <f>SUMPRODUCT(C42:F45,$C$16:$F$19)</f>
        <v>2</v>
      </c>
      <c r="H42" s="17" t="s">
        <v>17</v>
      </c>
      <c r="I42" s="14">
        <v>2</v>
      </c>
      <c r="J42" t="b">
        <f>IF(G42&lt;=I42,TRUE,FALSE)</f>
        <v>1</v>
      </c>
    </row>
    <row r="43" spans="1:10" x14ac:dyDescent="0.55000000000000004">
      <c r="A43" s="36"/>
      <c r="B43" s="1">
        <v>2</v>
      </c>
      <c r="C43" s="1"/>
      <c r="D43" s="11"/>
      <c r="E43" s="1">
        <v>1</v>
      </c>
      <c r="F43" s="1"/>
    </row>
    <row r="44" spans="1:10" x14ac:dyDescent="0.55000000000000004">
      <c r="A44" s="36"/>
      <c r="B44" s="1">
        <v>3</v>
      </c>
      <c r="C44" s="1">
        <v>1</v>
      </c>
      <c r="D44" s="1"/>
      <c r="E44" s="11"/>
      <c r="F44" s="18"/>
    </row>
    <row r="45" spans="1:10" x14ac:dyDescent="0.55000000000000004">
      <c r="A45" s="36"/>
      <c r="B45" s="19">
        <v>4</v>
      </c>
      <c r="C45" s="1"/>
      <c r="D45" s="1"/>
      <c r="E45" s="18"/>
      <c r="F45" s="11"/>
    </row>
    <row r="47" spans="1:10" x14ac:dyDescent="0.55000000000000004">
      <c r="B47" s="37" t="s">
        <v>19</v>
      </c>
      <c r="C47" s="37"/>
      <c r="D47" s="37"/>
      <c r="E47" s="37"/>
      <c r="F47" s="33"/>
    </row>
    <row r="48" spans="1:10" x14ac:dyDescent="0.55000000000000004">
      <c r="C48" s="38" t="s">
        <v>11</v>
      </c>
      <c r="D48" s="38"/>
      <c r="E48" s="38"/>
      <c r="F48" s="38"/>
    </row>
    <row r="49" spans="1:10" x14ac:dyDescent="0.55000000000000004">
      <c r="C49" s="10">
        <v>1</v>
      </c>
      <c r="D49" s="10">
        <v>2</v>
      </c>
      <c r="E49" s="10">
        <v>3</v>
      </c>
      <c r="F49" s="20">
        <v>4</v>
      </c>
    </row>
    <row r="50" spans="1:10" x14ac:dyDescent="0.55000000000000004">
      <c r="A50" s="36" t="s">
        <v>12</v>
      </c>
      <c r="B50" s="1">
        <v>1</v>
      </c>
      <c r="C50" s="11" t="s">
        <v>14</v>
      </c>
      <c r="D50" s="1">
        <v>1</v>
      </c>
      <c r="E50" s="1"/>
      <c r="F50" s="1"/>
      <c r="G50" s="4">
        <f>SUMPRODUCT(C50:F53,$C$16:$F$19)</f>
        <v>2</v>
      </c>
      <c r="H50" s="17" t="s">
        <v>17</v>
      </c>
      <c r="I50" s="14">
        <v>2</v>
      </c>
      <c r="J50" t="b">
        <f>IF(G50&lt;=I50,TRUE,FALSE)</f>
        <v>1</v>
      </c>
    </row>
    <row r="51" spans="1:10" x14ac:dyDescent="0.55000000000000004">
      <c r="A51" s="36"/>
      <c r="B51" s="1">
        <v>2</v>
      </c>
      <c r="C51" s="1"/>
      <c r="D51" s="11"/>
      <c r="E51" s="1"/>
      <c r="F51" s="1">
        <v>1</v>
      </c>
    </row>
    <row r="52" spans="1:10" x14ac:dyDescent="0.55000000000000004">
      <c r="A52" s="36"/>
      <c r="B52" s="1">
        <v>3</v>
      </c>
      <c r="C52" s="1"/>
      <c r="D52" s="1"/>
      <c r="E52" s="11"/>
      <c r="F52" s="18"/>
    </row>
    <row r="53" spans="1:10" x14ac:dyDescent="0.55000000000000004">
      <c r="A53" s="36"/>
      <c r="B53" s="19">
        <v>4</v>
      </c>
      <c r="C53" s="1">
        <v>1</v>
      </c>
      <c r="D53" s="1"/>
      <c r="E53" s="18"/>
      <c r="F53" s="11"/>
    </row>
    <row r="55" spans="1:10" x14ac:dyDescent="0.55000000000000004">
      <c r="B55" s="37" t="s">
        <v>19</v>
      </c>
      <c r="C55" s="37"/>
      <c r="D55" s="37"/>
      <c r="E55" s="37"/>
      <c r="F55" s="33"/>
    </row>
    <row r="56" spans="1:10" x14ac:dyDescent="0.55000000000000004">
      <c r="C56" s="38" t="s">
        <v>11</v>
      </c>
      <c r="D56" s="38"/>
      <c r="E56" s="38"/>
      <c r="F56" s="38"/>
    </row>
    <row r="57" spans="1:10" x14ac:dyDescent="0.55000000000000004">
      <c r="C57" s="10">
        <v>1</v>
      </c>
      <c r="D57" s="10">
        <v>2</v>
      </c>
      <c r="E57" s="10">
        <v>3</v>
      </c>
      <c r="F57" s="20">
        <v>4</v>
      </c>
    </row>
    <row r="58" spans="1:10" x14ac:dyDescent="0.55000000000000004">
      <c r="A58" s="36" t="s">
        <v>12</v>
      </c>
      <c r="B58" s="1">
        <v>1</v>
      </c>
      <c r="C58" s="11" t="s">
        <v>14</v>
      </c>
      <c r="D58" s="1"/>
      <c r="E58" s="1">
        <v>1</v>
      </c>
      <c r="F58" s="1"/>
      <c r="G58" s="4">
        <f>SUMPRODUCT(C58:F61,$C$16:$F$19)</f>
        <v>2</v>
      </c>
      <c r="H58" s="17" t="s">
        <v>17</v>
      </c>
      <c r="I58" s="14">
        <v>2</v>
      </c>
      <c r="J58" t="b">
        <f>IF(G58&lt;=I58,TRUE,FALSE)</f>
        <v>1</v>
      </c>
    </row>
    <row r="59" spans="1:10" x14ac:dyDescent="0.55000000000000004">
      <c r="A59" s="36"/>
      <c r="B59" s="1">
        <v>2</v>
      </c>
      <c r="C59" s="1"/>
      <c r="D59" s="11"/>
      <c r="E59" s="1"/>
      <c r="F59" s="1"/>
    </row>
    <row r="60" spans="1:10" x14ac:dyDescent="0.55000000000000004">
      <c r="A60" s="36"/>
      <c r="B60" s="1">
        <v>3</v>
      </c>
      <c r="C60" s="1"/>
      <c r="D60" s="1"/>
      <c r="E60" s="11"/>
      <c r="F60" s="18">
        <v>1</v>
      </c>
    </row>
    <row r="61" spans="1:10" x14ac:dyDescent="0.55000000000000004">
      <c r="A61" s="36"/>
      <c r="B61" s="19">
        <v>4</v>
      </c>
      <c r="C61" s="1">
        <v>1</v>
      </c>
      <c r="D61" s="1"/>
      <c r="E61" s="18"/>
      <c r="F61" s="18"/>
    </row>
    <row r="62" spans="1:10" x14ac:dyDescent="0.55000000000000004">
      <c r="B62" s="4"/>
      <c r="C62" s="4"/>
      <c r="D62" s="4"/>
      <c r="E62" s="15"/>
      <c r="F62" s="15"/>
    </row>
    <row r="63" spans="1:10" x14ac:dyDescent="0.55000000000000004">
      <c r="B63" s="37" t="s">
        <v>19</v>
      </c>
      <c r="C63" s="37"/>
      <c r="D63" s="37"/>
      <c r="E63" s="37"/>
      <c r="F63" s="33"/>
    </row>
    <row r="64" spans="1:10" x14ac:dyDescent="0.55000000000000004">
      <c r="C64" s="38" t="s">
        <v>11</v>
      </c>
      <c r="D64" s="38"/>
      <c r="E64" s="38"/>
      <c r="F64" s="38"/>
    </row>
    <row r="65" spans="1:10" x14ac:dyDescent="0.55000000000000004">
      <c r="C65" s="10">
        <v>1</v>
      </c>
      <c r="D65" s="10">
        <v>2</v>
      </c>
      <c r="E65" s="10">
        <v>3</v>
      </c>
      <c r="F65" s="20">
        <v>4</v>
      </c>
    </row>
    <row r="66" spans="1:10" x14ac:dyDescent="0.55000000000000004">
      <c r="A66" s="36" t="s">
        <v>12</v>
      </c>
      <c r="B66" s="1">
        <v>1</v>
      </c>
      <c r="C66" s="11" t="s">
        <v>14</v>
      </c>
      <c r="D66" s="1"/>
      <c r="E66" s="1"/>
      <c r="F66" s="1"/>
      <c r="G66" s="4">
        <f>SUMPRODUCT(C66:F69,$C$16:$F$19)</f>
        <v>2</v>
      </c>
      <c r="H66" s="17" t="s">
        <v>17</v>
      </c>
      <c r="I66" s="14">
        <v>2</v>
      </c>
      <c r="J66" t="b">
        <f>IF(G66&lt;=I66,TRUE,FALSE)</f>
        <v>1</v>
      </c>
    </row>
    <row r="67" spans="1:10" x14ac:dyDescent="0.55000000000000004">
      <c r="A67" s="36"/>
      <c r="B67" s="1">
        <v>2</v>
      </c>
      <c r="C67" s="1"/>
      <c r="D67" s="11"/>
      <c r="E67" s="1">
        <v>1</v>
      </c>
      <c r="F67" s="1"/>
    </row>
    <row r="68" spans="1:10" x14ac:dyDescent="0.55000000000000004">
      <c r="A68" s="36"/>
      <c r="B68" s="1">
        <v>3</v>
      </c>
      <c r="C68" s="1"/>
      <c r="D68" s="1"/>
      <c r="E68" s="11"/>
      <c r="F68" s="18">
        <v>1</v>
      </c>
    </row>
    <row r="69" spans="1:10" x14ac:dyDescent="0.55000000000000004">
      <c r="A69" s="36"/>
      <c r="B69" s="19">
        <v>4</v>
      </c>
      <c r="C69" s="1"/>
      <c r="D69" s="1">
        <v>1</v>
      </c>
      <c r="E69" s="18"/>
      <c r="F69" s="18"/>
    </row>
    <row r="70" spans="1:10" x14ac:dyDescent="0.55000000000000004">
      <c r="B70" s="4"/>
      <c r="C70" s="4"/>
      <c r="D70" s="4"/>
      <c r="E70" s="4"/>
      <c r="F70" s="4"/>
      <c r="G70" s="14"/>
      <c r="H70" s="14"/>
      <c r="I70" s="4"/>
    </row>
    <row r="71" spans="1:10" x14ac:dyDescent="0.55000000000000004">
      <c r="B71" s="37" t="s">
        <v>19</v>
      </c>
      <c r="C71" s="37"/>
      <c r="D71" s="37"/>
      <c r="E71" s="37"/>
      <c r="F71" s="33"/>
      <c r="G71" s="14"/>
      <c r="H71" s="14"/>
      <c r="I71" s="4"/>
    </row>
    <row r="72" spans="1:10" x14ac:dyDescent="0.55000000000000004">
      <c r="C72" s="38" t="s">
        <v>11</v>
      </c>
      <c r="D72" s="38"/>
      <c r="E72" s="38"/>
      <c r="F72" s="38"/>
      <c r="G72" s="14"/>
      <c r="H72" s="14"/>
      <c r="I72" s="4"/>
    </row>
    <row r="73" spans="1:10" x14ac:dyDescent="0.55000000000000004">
      <c r="C73" s="10">
        <v>1</v>
      </c>
      <c r="D73" s="10">
        <v>2</v>
      </c>
      <c r="E73" s="10">
        <v>3</v>
      </c>
      <c r="F73" s="20">
        <v>4</v>
      </c>
    </row>
    <row r="74" spans="1:10" x14ac:dyDescent="0.55000000000000004">
      <c r="A74" s="36" t="s">
        <v>12</v>
      </c>
      <c r="B74" s="1">
        <v>1</v>
      </c>
      <c r="C74" s="11"/>
      <c r="D74" s="1"/>
      <c r="E74" s="1">
        <v>1</v>
      </c>
      <c r="F74" s="1"/>
      <c r="G74" s="4">
        <f>SUMPRODUCT(C74:F77,$C$16:$F$19)</f>
        <v>0</v>
      </c>
      <c r="H74" s="17" t="s">
        <v>17</v>
      </c>
      <c r="I74" s="14">
        <v>2</v>
      </c>
      <c r="J74" t="b">
        <f>IF(G74&lt;=I74,TRUE,FALSE)</f>
        <v>1</v>
      </c>
    </row>
    <row r="75" spans="1:10" x14ac:dyDescent="0.55000000000000004">
      <c r="A75" s="36"/>
      <c r="B75" s="1">
        <v>2</v>
      </c>
      <c r="C75" s="1">
        <v>1</v>
      </c>
      <c r="D75" s="11"/>
      <c r="E75" s="1"/>
      <c r="F75" s="1"/>
    </row>
    <row r="76" spans="1:10" x14ac:dyDescent="0.55000000000000004">
      <c r="A76" s="36"/>
      <c r="B76" s="1">
        <v>3</v>
      </c>
      <c r="C76" s="1"/>
      <c r="D76" s="1">
        <v>1</v>
      </c>
      <c r="E76" s="11"/>
      <c r="F76" s="18"/>
    </row>
    <row r="77" spans="1:10" x14ac:dyDescent="0.55000000000000004">
      <c r="A77" s="36"/>
      <c r="B77" s="19">
        <v>4</v>
      </c>
      <c r="C77" s="1"/>
      <c r="D77" s="1"/>
      <c r="E77" s="18"/>
      <c r="F77" s="11"/>
    </row>
    <row r="79" spans="1:10" x14ac:dyDescent="0.55000000000000004">
      <c r="B79" s="37" t="s">
        <v>19</v>
      </c>
      <c r="C79" s="37"/>
      <c r="D79" s="37"/>
      <c r="E79" s="37"/>
      <c r="F79" s="33"/>
    </row>
    <row r="80" spans="1:10" x14ac:dyDescent="0.55000000000000004">
      <c r="C80" s="38" t="s">
        <v>11</v>
      </c>
      <c r="D80" s="38"/>
      <c r="E80" s="38"/>
      <c r="F80" s="38"/>
    </row>
    <row r="81" spans="1:10" x14ac:dyDescent="0.55000000000000004">
      <c r="C81" s="10">
        <v>1</v>
      </c>
      <c r="D81" s="10">
        <v>2</v>
      </c>
      <c r="E81" s="10">
        <v>3</v>
      </c>
      <c r="F81" s="20">
        <v>4</v>
      </c>
    </row>
    <row r="82" spans="1:10" x14ac:dyDescent="0.55000000000000004">
      <c r="A82" s="36" t="s">
        <v>12</v>
      </c>
      <c r="B82" s="1">
        <v>1</v>
      </c>
      <c r="C82" s="11" t="s">
        <v>14</v>
      </c>
      <c r="D82" s="1"/>
      <c r="E82" s="1"/>
      <c r="F82" s="1">
        <v>1</v>
      </c>
      <c r="G82" s="4">
        <f>SUMPRODUCT(C82:F85,$C$16:$F$19)</f>
        <v>0</v>
      </c>
      <c r="H82" s="17" t="s">
        <v>17</v>
      </c>
      <c r="I82" s="14">
        <v>2</v>
      </c>
      <c r="J82" t="b">
        <f>IF(G82&lt;=I82,TRUE,FALSE)</f>
        <v>1</v>
      </c>
    </row>
    <row r="83" spans="1:10" x14ac:dyDescent="0.55000000000000004">
      <c r="A83" s="36"/>
      <c r="B83" s="1">
        <v>2</v>
      </c>
      <c r="C83" s="1">
        <v>1</v>
      </c>
      <c r="D83" s="11"/>
      <c r="E83" s="1"/>
      <c r="F83" s="1"/>
    </row>
    <row r="84" spans="1:10" x14ac:dyDescent="0.55000000000000004">
      <c r="A84" s="36"/>
      <c r="B84" s="1">
        <v>3</v>
      </c>
      <c r="C84" s="1"/>
      <c r="D84" s="1"/>
      <c r="E84" s="11"/>
      <c r="F84" s="18"/>
    </row>
    <row r="85" spans="1:10" x14ac:dyDescent="0.55000000000000004">
      <c r="A85" s="36"/>
      <c r="B85" s="19">
        <v>4</v>
      </c>
      <c r="C85" s="1"/>
      <c r="D85" s="1">
        <v>1</v>
      </c>
      <c r="E85" s="18"/>
      <c r="F85" s="11"/>
    </row>
    <row r="87" spans="1:10" x14ac:dyDescent="0.55000000000000004">
      <c r="B87" s="37" t="s">
        <v>19</v>
      </c>
      <c r="C87" s="37"/>
      <c r="D87" s="37"/>
      <c r="E87" s="37"/>
      <c r="F87" s="33"/>
    </row>
    <row r="88" spans="1:10" x14ac:dyDescent="0.55000000000000004">
      <c r="C88" s="38" t="s">
        <v>11</v>
      </c>
      <c r="D88" s="38"/>
      <c r="E88" s="38"/>
      <c r="F88" s="38"/>
    </row>
    <row r="89" spans="1:10" x14ac:dyDescent="0.55000000000000004">
      <c r="C89" s="10">
        <v>1</v>
      </c>
      <c r="D89" s="10">
        <v>2</v>
      </c>
      <c r="E89" s="10">
        <v>3</v>
      </c>
      <c r="F89" s="20">
        <v>4</v>
      </c>
    </row>
    <row r="90" spans="1:10" x14ac:dyDescent="0.55000000000000004">
      <c r="A90" s="36" t="s">
        <v>12</v>
      </c>
      <c r="B90" s="1">
        <v>1</v>
      </c>
      <c r="C90" s="11" t="s">
        <v>14</v>
      </c>
      <c r="D90" s="1"/>
      <c r="E90" s="1">
        <v>1</v>
      </c>
      <c r="F90" s="1"/>
      <c r="G90" s="4">
        <f>SUMPRODUCT(C90:F93,$C$16:$F$19)</f>
        <v>2</v>
      </c>
      <c r="H90" s="17" t="s">
        <v>17</v>
      </c>
      <c r="I90" s="14">
        <v>2</v>
      </c>
      <c r="J90" t="b">
        <f>IF(G90&lt;=I90,TRUE,FALSE)</f>
        <v>1</v>
      </c>
    </row>
    <row r="91" spans="1:10" x14ac:dyDescent="0.55000000000000004">
      <c r="A91" s="36"/>
      <c r="B91" s="1">
        <v>2</v>
      </c>
      <c r="C91" s="1"/>
      <c r="D91" s="11"/>
      <c r="E91" s="1"/>
      <c r="F91" s="1"/>
    </row>
    <row r="92" spans="1:10" x14ac:dyDescent="0.55000000000000004">
      <c r="A92" s="36"/>
      <c r="B92" s="1">
        <v>3</v>
      </c>
      <c r="C92" s="1"/>
      <c r="D92" s="1"/>
      <c r="E92" s="11"/>
      <c r="F92" s="18">
        <v>1</v>
      </c>
    </row>
    <row r="93" spans="1:10" x14ac:dyDescent="0.55000000000000004">
      <c r="A93" s="36"/>
      <c r="B93" s="19">
        <v>4</v>
      </c>
      <c r="C93" s="1">
        <v>1</v>
      </c>
      <c r="D93" s="1"/>
      <c r="E93" s="18"/>
      <c r="F93" s="18"/>
    </row>
    <row r="94" spans="1:10" x14ac:dyDescent="0.55000000000000004">
      <c r="B94" s="4"/>
      <c r="C94" s="4"/>
      <c r="D94" s="4"/>
      <c r="E94" s="15"/>
      <c r="F94" s="15"/>
    </row>
    <row r="95" spans="1:10" x14ac:dyDescent="0.55000000000000004">
      <c r="B95" s="37" t="s">
        <v>19</v>
      </c>
      <c r="C95" s="37"/>
      <c r="D95" s="37"/>
      <c r="E95" s="37"/>
      <c r="F95" s="33"/>
    </row>
    <row r="96" spans="1:10" x14ac:dyDescent="0.55000000000000004">
      <c r="C96" s="38" t="s">
        <v>11</v>
      </c>
      <c r="D96" s="38"/>
      <c r="E96" s="38"/>
      <c r="F96" s="38"/>
    </row>
    <row r="97" spans="1:10" x14ac:dyDescent="0.55000000000000004">
      <c r="C97" s="10">
        <v>1</v>
      </c>
      <c r="D97" s="10">
        <v>2</v>
      </c>
      <c r="E97" s="10">
        <v>3</v>
      </c>
      <c r="F97" s="20">
        <v>4</v>
      </c>
    </row>
    <row r="98" spans="1:10" x14ac:dyDescent="0.55000000000000004">
      <c r="A98" s="36" t="s">
        <v>12</v>
      </c>
      <c r="B98" s="1">
        <v>1</v>
      </c>
      <c r="C98" s="11" t="s">
        <v>14</v>
      </c>
      <c r="D98" s="1"/>
      <c r="E98" s="1"/>
      <c r="F98" s="1"/>
      <c r="G98" s="4">
        <f>SUMPRODUCT(C98:F101,$C$16:$F$19)</f>
        <v>0</v>
      </c>
      <c r="H98" s="17" t="s">
        <v>17</v>
      </c>
      <c r="I98" s="14">
        <v>2</v>
      </c>
      <c r="J98" t="b">
        <f>IF(G98&lt;=I98,TRUE,FALSE)</f>
        <v>1</v>
      </c>
    </row>
    <row r="99" spans="1:10" x14ac:dyDescent="0.55000000000000004">
      <c r="A99" s="36"/>
      <c r="B99" s="1">
        <v>2</v>
      </c>
      <c r="C99" s="1"/>
      <c r="D99" s="11"/>
      <c r="E99" s="1"/>
      <c r="F99" s="1">
        <v>1</v>
      </c>
    </row>
    <row r="100" spans="1:10" x14ac:dyDescent="0.55000000000000004">
      <c r="A100" s="36"/>
      <c r="B100" s="1">
        <v>3</v>
      </c>
      <c r="C100" s="1"/>
      <c r="D100" s="1">
        <v>1</v>
      </c>
      <c r="E100" s="11"/>
      <c r="F100" s="18"/>
    </row>
    <row r="101" spans="1:10" x14ac:dyDescent="0.55000000000000004">
      <c r="A101" s="36"/>
      <c r="B101" s="19">
        <v>4</v>
      </c>
      <c r="C101" s="1"/>
      <c r="D101" s="1"/>
      <c r="E101" s="18">
        <v>1</v>
      </c>
      <c r="F101" s="18"/>
    </row>
    <row r="102" spans="1:10" x14ac:dyDescent="0.55000000000000004">
      <c r="B102" s="4"/>
      <c r="C102" s="4"/>
      <c r="D102" s="4"/>
      <c r="E102" s="15"/>
      <c r="F102" s="15"/>
    </row>
    <row r="103" spans="1:10" x14ac:dyDescent="0.55000000000000004">
      <c r="B103" s="37" t="s">
        <v>16</v>
      </c>
      <c r="C103" s="37"/>
      <c r="D103" s="37"/>
      <c r="E103" s="37"/>
      <c r="F103" s="33"/>
    </row>
    <row r="104" spans="1:10" x14ac:dyDescent="0.55000000000000004">
      <c r="C104" s="38" t="s">
        <v>11</v>
      </c>
      <c r="D104" s="38"/>
      <c r="E104" s="38"/>
      <c r="F104" s="38"/>
    </row>
    <row r="105" spans="1:10" x14ac:dyDescent="0.55000000000000004">
      <c r="C105" s="10">
        <v>1</v>
      </c>
      <c r="D105" s="10">
        <v>2</v>
      </c>
      <c r="E105" s="10">
        <v>3</v>
      </c>
      <c r="F105" s="20">
        <v>4</v>
      </c>
    </row>
    <row r="106" spans="1:10" x14ac:dyDescent="0.55000000000000004">
      <c r="A106" s="36" t="s">
        <v>12</v>
      </c>
      <c r="B106" s="1">
        <v>1</v>
      </c>
      <c r="C106" s="11" t="s">
        <v>14</v>
      </c>
      <c r="D106" s="1">
        <v>1</v>
      </c>
      <c r="E106" s="1"/>
      <c r="F106" s="1"/>
      <c r="G106" s="4">
        <f>SUMPRODUCT(C106:F109,$C$16:$F$19)</f>
        <v>1</v>
      </c>
      <c r="H106" s="17" t="s">
        <v>17</v>
      </c>
      <c r="I106" s="14">
        <v>1</v>
      </c>
      <c r="J106" t="b">
        <f>IF(G106&lt;=I106,TRUE,FALSE)</f>
        <v>1</v>
      </c>
    </row>
    <row r="107" spans="1:10" x14ac:dyDescent="0.55000000000000004">
      <c r="A107" s="36"/>
      <c r="B107" s="1">
        <v>2</v>
      </c>
      <c r="C107" s="1">
        <v>1</v>
      </c>
      <c r="D107" s="11"/>
      <c r="E107" s="1"/>
      <c r="F107" s="1"/>
    </row>
    <row r="108" spans="1:10" x14ac:dyDescent="0.55000000000000004">
      <c r="A108" s="36"/>
      <c r="B108" s="1">
        <v>3</v>
      </c>
      <c r="C108" s="1"/>
      <c r="D108" s="1"/>
      <c r="E108" s="11"/>
      <c r="F108" s="18"/>
    </row>
    <row r="109" spans="1:10" x14ac:dyDescent="0.55000000000000004">
      <c r="A109" s="36"/>
      <c r="B109" s="19">
        <v>4</v>
      </c>
      <c r="C109" s="1"/>
      <c r="D109" s="1"/>
      <c r="E109" s="1"/>
      <c r="F109" s="1"/>
    </row>
    <row r="110" spans="1:10" x14ac:dyDescent="0.55000000000000004">
      <c r="B110" s="14"/>
    </row>
    <row r="111" spans="1:10" x14ac:dyDescent="0.55000000000000004">
      <c r="B111" s="37" t="s">
        <v>16</v>
      </c>
      <c r="C111" s="37"/>
      <c r="D111" s="37"/>
      <c r="E111" s="37"/>
      <c r="F111" s="33"/>
    </row>
    <row r="112" spans="1:10" x14ac:dyDescent="0.55000000000000004">
      <c r="C112" s="38" t="s">
        <v>11</v>
      </c>
      <c r="D112" s="38"/>
      <c r="E112" s="38"/>
      <c r="F112" s="38"/>
    </row>
    <row r="113" spans="1:10" x14ac:dyDescent="0.55000000000000004">
      <c r="C113" s="10">
        <v>1</v>
      </c>
      <c r="D113" s="10">
        <v>2</v>
      </c>
      <c r="E113" s="10">
        <v>3</v>
      </c>
      <c r="F113" s="20">
        <v>4</v>
      </c>
    </row>
    <row r="114" spans="1:10" x14ac:dyDescent="0.55000000000000004">
      <c r="A114" s="36" t="s">
        <v>12</v>
      </c>
      <c r="B114" s="1">
        <v>1</v>
      </c>
      <c r="C114" s="11" t="s">
        <v>14</v>
      </c>
      <c r="D114" s="1"/>
      <c r="E114" s="1">
        <v>1</v>
      </c>
      <c r="F114" s="1"/>
      <c r="G114" s="4">
        <f>SUMPRODUCT(C114:F117,$C$16:$F$19)</f>
        <v>0</v>
      </c>
      <c r="H114" s="17" t="s">
        <v>17</v>
      </c>
      <c r="I114" s="14">
        <v>1</v>
      </c>
      <c r="J114" t="b">
        <f>IF(G114&lt;=I114,TRUE,FALSE)</f>
        <v>1</v>
      </c>
    </row>
    <row r="115" spans="1:10" x14ac:dyDescent="0.55000000000000004">
      <c r="A115" s="36"/>
      <c r="B115" s="1">
        <v>2</v>
      </c>
      <c r="C115" s="1"/>
      <c r="D115" s="11"/>
      <c r="E115" s="1"/>
      <c r="F115" s="1"/>
    </row>
    <row r="116" spans="1:10" x14ac:dyDescent="0.55000000000000004">
      <c r="A116" s="36"/>
      <c r="B116" s="1">
        <v>3</v>
      </c>
      <c r="C116" s="1">
        <v>1</v>
      </c>
      <c r="D116" s="1"/>
      <c r="E116" s="11"/>
      <c r="F116" s="18"/>
    </row>
    <row r="117" spans="1:10" x14ac:dyDescent="0.55000000000000004">
      <c r="A117" s="36"/>
      <c r="B117" s="19">
        <v>4</v>
      </c>
      <c r="C117" s="1"/>
      <c r="D117" s="1"/>
      <c r="E117" s="1"/>
      <c r="F117" s="1"/>
    </row>
    <row r="118" spans="1:10" x14ac:dyDescent="0.55000000000000004">
      <c r="B118" s="14"/>
    </row>
    <row r="119" spans="1:10" x14ac:dyDescent="0.55000000000000004">
      <c r="B119" s="37" t="s">
        <v>16</v>
      </c>
      <c r="C119" s="37"/>
      <c r="D119" s="37"/>
      <c r="E119" s="37"/>
      <c r="F119" s="33"/>
    </row>
    <row r="120" spans="1:10" x14ac:dyDescent="0.55000000000000004">
      <c r="C120" s="38" t="s">
        <v>11</v>
      </c>
      <c r="D120" s="38"/>
      <c r="E120" s="38"/>
      <c r="F120" s="38"/>
    </row>
    <row r="121" spans="1:10" x14ac:dyDescent="0.55000000000000004">
      <c r="C121" s="10">
        <v>1</v>
      </c>
      <c r="D121" s="10">
        <v>2</v>
      </c>
      <c r="E121" s="10">
        <v>3</v>
      </c>
      <c r="F121" s="20">
        <v>4</v>
      </c>
    </row>
    <row r="122" spans="1:10" x14ac:dyDescent="0.55000000000000004">
      <c r="A122" s="36" t="s">
        <v>12</v>
      </c>
      <c r="B122" s="1">
        <v>1</v>
      </c>
      <c r="C122" s="11" t="s">
        <v>14</v>
      </c>
      <c r="D122" s="1"/>
      <c r="E122" s="1"/>
      <c r="F122" s="1">
        <v>1</v>
      </c>
      <c r="G122" s="4">
        <f>SUMPRODUCT(C122:F125,$C$16:$F$19)</f>
        <v>1</v>
      </c>
      <c r="H122" s="17" t="s">
        <v>17</v>
      </c>
      <c r="I122" s="14">
        <v>1</v>
      </c>
      <c r="J122" t="b">
        <f>IF(G122&lt;=I122,TRUE,FALSE)</f>
        <v>1</v>
      </c>
    </row>
    <row r="123" spans="1:10" x14ac:dyDescent="0.55000000000000004">
      <c r="A123" s="36"/>
      <c r="B123" s="1">
        <v>2</v>
      </c>
      <c r="C123" s="1"/>
      <c r="D123" s="11"/>
      <c r="E123" s="1"/>
      <c r="F123" s="1"/>
    </row>
    <row r="124" spans="1:10" x14ac:dyDescent="0.55000000000000004">
      <c r="A124" s="36"/>
      <c r="B124" s="1">
        <v>3</v>
      </c>
      <c r="C124" s="1"/>
      <c r="D124" s="1"/>
      <c r="E124" s="11"/>
      <c r="F124" s="18"/>
    </row>
    <row r="125" spans="1:10" x14ac:dyDescent="0.55000000000000004">
      <c r="A125" s="36"/>
      <c r="B125" s="19">
        <v>4</v>
      </c>
      <c r="C125" s="1">
        <v>1</v>
      </c>
      <c r="D125" s="1"/>
      <c r="E125" s="1"/>
      <c r="F125" s="1"/>
    </row>
    <row r="126" spans="1:10" x14ac:dyDescent="0.55000000000000004">
      <c r="A126" s="12"/>
      <c r="B126" s="14"/>
      <c r="C126" s="4"/>
      <c r="D126" s="4"/>
      <c r="E126" s="4"/>
      <c r="F126" s="4"/>
    </row>
    <row r="127" spans="1:10" x14ac:dyDescent="0.55000000000000004">
      <c r="B127" s="37" t="s">
        <v>16</v>
      </c>
      <c r="C127" s="37"/>
      <c r="D127" s="37"/>
      <c r="E127" s="37"/>
      <c r="F127" s="33"/>
    </row>
    <row r="128" spans="1:10" x14ac:dyDescent="0.55000000000000004">
      <c r="C128" s="38" t="s">
        <v>11</v>
      </c>
      <c r="D128" s="38"/>
      <c r="E128" s="38"/>
      <c r="F128" s="38"/>
    </row>
    <row r="129" spans="1:10" x14ac:dyDescent="0.55000000000000004">
      <c r="C129" s="10">
        <v>1</v>
      </c>
      <c r="D129" s="10">
        <v>2</v>
      </c>
      <c r="E129" s="10">
        <v>3</v>
      </c>
      <c r="F129" s="20">
        <v>4</v>
      </c>
    </row>
    <row r="130" spans="1:10" x14ac:dyDescent="0.55000000000000004">
      <c r="A130" s="36" t="s">
        <v>12</v>
      </c>
      <c r="B130" s="1">
        <v>1</v>
      </c>
      <c r="C130" s="11" t="s">
        <v>14</v>
      </c>
      <c r="D130" s="1"/>
      <c r="E130" s="1"/>
      <c r="F130" s="1"/>
      <c r="G130" s="4">
        <f>SUMPRODUCT(C130:F133,$C$16:$F$19)</f>
        <v>1</v>
      </c>
      <c r="H130" s="17" t="s">
        <v>17</v>
      </c>
      <c r="I130" s="14">
        <v>1</v>
      </c>
      <c r="J130" t="b">
        <f>IF(G130&lt;=I130,TRUE,FALSE)</f>
        <v>1</v>
      </c>
    </row>
    <row r="131" spans="1:10" x14ac:dyDescent="0.55000000000000004">
      <c r="A131" s="36"/>
      <c r="B131" s="1">
        <v>2</v>
      </c>
      <c r="C131" s="1"/>
      <c r="D131" s="11"/>
      <c r="E131" s="1">
        <v>1</v>
      </c>
      <c r="F131" s="1"/>
    </row>
    <row r="132" spans="1:10" x14ac:dyDescent="0.55000000000000004">
      <c r="A132" s="36"/>
      <c r="B132" s="1">
        <v>3</v>
      </c>
      <c r="C132" s="1"/>
      <c r="D132" s="1">
        <v>1</v>
      </c>
      <c r="E132" s="11"/>
      <c r="F132" s="18"/>
    </row>
    <row r="133" spans="1:10" x14ac:dyDescent="0.55000000000000004">
      <c r="A133" s="36"/>
      <c r="B133" s="19">
        <v>4</v>
      </c>
      <c r="C133" s="1"/>
      <c r="D133" s="1"/>
      <c r="E133" s="1"/>
      <c r="F133" s="1"/>
    </row>
    <row r="134" spans="1:10" x14ac:dyDescent="0.55000000000000004">
      <c r="A134" s="12"/>
      <c r="B134" s="14"/>
      <c r="C134" s="4"/>
      <c r="D134" s="4"/>
      <c r="E134" s="4"/>
      <c r="F134" s="4"/>
    </row>
    <row r="135" spans="1:10" x14ac:dyDescent="0.55000000000000004">
      <c r="B135" s="37" t="s">
        <v>16</v>
      </c>
      <c r="C135" s="37"/>
      <c r="D135" s="37"/>
      <c r="E135" s="37"/>
      <c r="F135" s="33"/>
    </row>
    <row r="136" spans="1:10" x14ac:dyDescent="0.55000000000000004">
      <c r="C136" s="38" t="s">
        <v>11</v>
      </c>
      <c r="D136" s="38"/>
      <c r="E136" s="38"/>
      <c r="F136" s="38"/>
    </row>
    <row r="137" spans="1:10" x14ac:dyDescent="0.55000000000000004">
      <c r="C137" s="10">
        <v>1</v>
      </c>
      <c r="D137" s="10">
        <v>2</v>
      </c>
      <c r="E137" s="10">
        <v>3</v>
      </c>
      <c r="F137" s="20">
        <v>4</v>
      </c>
    </row>
    <row r="138" spans="1:10" x14ac:dyDescent="0.55000000000000004">
      <c r="A138" s="36" t="s">
        <v>12</v>
      </c>
      <c r="B138" s="1">
        <v>1</v>
      </c>
      <c r="C138" s="11" t="s">
        <v>14</v>
      </c>
      <c r="D138" s="1"/>
      <c r="E138" s="1"/>
      <c r="F138" s="1"/>
      <c r="G138" s="4">
        <f>SUMPRODUCT(C138:F141,$C$16:$F$19)</f>
        <v>0</v>
      </c>
      <c r="H138" s="17" t="s">
        <v>17</v>
      </c>
      <c r="I138" s="14">
        <v>1</v>
      </c>
      <c r="J138" t="b">
        <f>IF(G138&lt;=I138,TRUE,FALSE)</f>
        <v>1</v>
      </c>
    </row>
    <row r="139" spans="1:10" x14ac:dyDescent="0.55000000000000004">
      <c r="A139" s="36"/>
      <c r="B139" s="1">
        <v>2</v>
      </c>
      <c r="C139" s="1"/>
      <c r="D139" s="11"/>
      <c r="E139" s="1"/>
      <c r="F139" s="1">
        <v>1</v>
      </c>
    </row>
    <row r="140" spans="1:10" x14ac:dyDescent="0.55000000000000004">
      <c r="A140" s="36"/>
      <c r="B140" s="1">
        <v>3</v>
      </c>
      <c r="C140" s="1"/>
      <c r="D140" s="1"/>
      <c r="E140" s="11"/>
      <c r="F140" s="18"/>
    </row>
    <row r="141" spans="1:10" x14ac:dyDescent="0.55000000000000004">
      <c r="A141" s="36"/>
      <c r="B141" s="19">
        <v>4</v>
      </c>
      <c r="C141" s="1"/>
      <c r="D141" s="1">
        <v>1</v>
      </c>
      <c r="E141" s="1"/>
      <c r="F141" s="1"/>
    </row>
    <row r="142" spans="1:10" x14ac:dyDescent="0.55000000000000004">
      <c r="A142" s="12"/>
      <c r="B142" s="14"/>
      <c r="C142" s="4"/>
      <c r="D142" s="4"/>
      <c r="E142" s="4"/>
      <c r="F142" s="4"/>
    </row>
    <row r="143" spans="1:10" x14ac:dyDescent="0.55000000000000004">
      <c r="B143" s="37" t="s">
        <v>16</v>
      </c>
      <c r="C143" s="37"/>
      <c r="D143" s="37"/>
      <c r="E143" s="37"/>
      <c r="F143" s="33"/>
    </row>
    <row r="144" spans="1:10" x14ac:dyDescent="0.55000000000000004">
      <c r="C144" s="38" t="s">
        <v>11</v>
      </c>
      <c r="D144" s="38"/>
      <c r="E144" s="38"/>
      <c r="F144" s="38"/>
    </row>
    <row r="145" spans="1:10" x14ac:dyDescent="0.55000000000000004">
      <c r="C145" s="10">
        <v>1</v>
      </c>
      <c r="D145" s="10">
        <v>2</v>
      </c>
      <c r="E145" s="10">
        <v>3</v>
      </c>
      <c r="F145" s="20">
        <v>4</v>
      </c>
    </row>
    <row r="146" spans="1:10" x14ac:dyDescent="0.55000000000000004">
      <c r="A146" s="36" t="s">
        <v>12</v>
      </c>
      <c r="B146" s="1">
        <v>1</v>
      </c>
      <c r="C146" s="11" t="s">
        <v>14</v>
      </c>
      <c r="D146" s="1"/>
      <c r="E146" s="1"/>
      <c r="F146" s="1"/>
      <c r="G146" s="4">
        <f>SUMPRODUCT(C146:F149,$C$16:$F$19)</f>
        <v>1</v>
      </c>
      <c r="H146" s="17" t="s">
        <v>17</v>
      </c>
      <c r="I146" s="14">
        <v>1</v>
      </c>
      <c r="J146" t="b">
        <f>IF(G146&lt;=I146,TRUE,FALSE)</f>
        <v>1</v>
      </c>
    </row>
    <row r="147" spans="1:10" x14ac:dyDescent="0.55000000000000004">
      <c r="A147" s="36"/>
      <c r="B147" s="1">
        <v>2</v>
      </c>
      <c r="C147" s="1"/>
      <c r="D147" s="11"/>
      <c r="E147" s="1"/>
      <c r="F147" s="1"/>
    </row>
    <row r="148" spans="1:10" x14ac:dyDescent="0.55000000000000004">
      <c r="A148" s="36"/>
      <c r="B148" s="1">
        <v>3</v>
      </c>
      <c r="C148" s="1"/>
      <c r="D148" s="1"/>
      <c r="E148" s="11"/>
      <c r="F148" s="18">
        <v>1</v>
      </c>
    </row>
    <row r="149" spans="1:10" x14ac:dyDescent="0.55000000000000004">
      <c r="A149" s="36"/>
      <c r="B149" s="19">
        <v>4</v>
      </c>
      <c r="C149" s="1"/>
      <c r="D149" s="1"/>
      <c r="E149" s="1">
        <v>1</v>
      </c>
      <c r="F149" s="1"/>
    </row>
    <row r="150" spans="1:10" x14ac:dyDescent="0.55000000000000004">
      <c r="A150" s="12"/>
      <c r="B150" s="14"/>
      <c r="C150" s="4"/>
      <c r="D150" s="4"/>
      <c r="E150" s="4"/>
      <c r="F150" s="4"/>
    </row>
    <row r="151" spans="1:10" x14ac:dyDescent="0.55000000000000004">
      <c r="A151" s="12"/>
      <c r="B151" s="14"/>
      <c r="C151" s="4"/>
      <c r="D151" s="4"/>
      <c r="E151" s="4"/>
      <c r="F151" s="4"/>
    </row>
    <row r="152" spans="1:10" x14ac:dyDescent="0.55000000000000004">
      <c r="A152" s="12"/>
      <c r="B152" s="14"/>
      <c r="C152" s="4" t="s">
        <v>26</v>
      </c>
      <c r="D152" s="4"/>
      <c r="E152" s="4"/>
      <c r="F152" s="4"/>
    </row>
    <row r="153" spans="1:10" x14ac:dyDescent="0.55000000000000004">
      <c r="C153" s="1">
        <f>C20</f>
        <v>1</v>
      </c>
      <c r="D153" s="1">
        <f t="shared" ref="D153:F153" si="4">D20</f>
        <v>1</v>
      </c>
      <c r="E153" s="1">
        <f t="shared" si="4"/>
        <v>1</v>
      </c>
      <c r="F153" s="1">
        <f t="shared" si="4"/>
        <v>1</v>
      </c>
    </row>
    <row r="154" spans="1:10" x14ac:dyDescent="0.55000000000000004">
      <c r="C154" s="34" t="s">
        <v>15</v>
      </c>
      <c r="D154" s="34" t="s">
        <v>15</v>
      </c>
      <c r="E154" s="34" t="s">
        <v>15</v>
      </c>
      <c r="F154" s="34" t="s">
        <v>15</v>
      </c>
    </row>
    <row r="155" spans="1:10" x14ac:dyDescent="0.55000000000000004">
      <c r="C155" s="1">
        <v>1</v>
      </c>
      <c r="D155" s="1">
        <v>1</v>
      </c>
      <c r="E155" s="1">
        <v>1</v>
      </c>
      <c r="F155" s="1">
        <v>1</v>
      </c>
    </row>
    <row r="156" spans="1:10" x14ac:dyDescent="0.55000000000000004">
      <c r="C156" s="4"/>
      <c r="D156" s="4"/>
      <c r="E156" s="4"/>
      <c r="F156" s="4"/>
    </row>
    <row r="157" spans="1:10" x14ac:dyDescent="0.55000000000000004">
      <c r="C157" t="s">
        <v>27</v>
      </c>
    </row>
    <row r="158" spans="1:10" x14ac:dyDescent="0.55000000000000004">
      <c r="C158" s="1">
        <f>G16</f>
        <v>1</v>
      </c>
      <c r="D158" s="34" t="s">
        <v>15</v>
      </c>
      <c r="E158" s="1">
        <v>1</v>
      </c>
    </row>
    <row r="159" spans="1:10" x14ac:dyDescent="0.55000000000000004">
      <c r="C159" s="1">
        <f>G17</f>
        <v>1</v>
      </c>
      <c r="D159" s="34" t="s">
        <v>15</v>
      </c>
      <c r="E159" s="1">
        <v>1</v>
      </c>
    </row>
    <row r="160" spans="1:10" x14ac:dyDescent="0.55000000000000004">
      <c r="C160" s="1">
        <f>G18</f>
        <v>1</v>
      </c>
      <c r="D160" s="34" t="s">
        <v>15</v>
      </c>
      <c r="E160" s="1">
        <v>1</v>
      </c>
    </row>
    <row r="161" spans="3:5" x14ac:dyDescent="0.55000000000000004">
      <c r="C161" s="1">
        <f>G19</f>
        <v>1</v>
      </c>
      <c r="D161" s="34" t="s">
        <v>15</v>
      </c>
      <c r="E161" s="1">
        <v>1</v>
      </c>
    </row>
  </sheetData>
  <mergeCells count="55">
    <mergeCell ref="A146:A149"/>
    <mergeCell ref="A130:A133"/>
    <mergeCell ref="B135:E135"/>
    <mergeCell ref="C136:F136"/>
    <mergeCell ref="A138:A141"/>
    <mergeCell ref="B143:E143"/>
    <mergeCell ref="C144:F144"/>
    <mergeCell ref="A114:A117"/>
    <mergeCell ref="B119:E119"/>
    <mergeCell ref="C120:F120"/>
    <mergeCell ref="A122:A125"/>
    <mergeCell ref="B127:E127"/>
    <mergeCell ref="C128:F128"/>
    <mergeCell ref="A98:A101"/>
    <mergeCell ref="B103:E103"/>
    <mergeCell ref="C104:F104"/>
    <mergeCell ref="A106:A109"/>
    <mergeCell ref="B111:E111"/>
    <mergeCell ref="C112:F112"/>
    <mergeCell ref="A82:A85"/>
    <mergeCell ref="B87:E87"/>
    <mergeCell ref="C88:F88"/>
    <mergeCell ref="A90:A93"/>
    <mergeCell ref="B95:E95"/>
    <mergeCell ref="C96:F96"/>
    <mergeCell ref="A66:A69"/>
    <mergeCell ref="B71:E71"/>
    <mergeCell ref="C72:F72"/>
    <mergeCell ref="A74:A77"/>
    <mergeCell ref="B79:E79"/>
    <mergeCell ref="C80:F80"/>
    <mergeCell ref="A50:A53"/>
    <mergeCell ref="B55:E55"/>
    <mergeCell ref="C56:F56"/>
    <mergeCell ref="A58:A61"/>
    <mergeCell ref="B63:E63"/>
    <mergeCell ref="C64:F64"/>
    <mergeCell ref="A34:A37"/>
    <mergeCell ref="B39:E39"/>
    <mergeCell ref="C40:F40"/>
    <mergeCell ref="A42:A45"/>
    <mergeCell ref="B47:E47"/>
    <mergeCell ref="C48:F48"/>
    <mergeCell ref="A16:A19"/>
    <mergeCell ref="A23:A24"/>
    <mergeCell ref="C23:F23"/>
    <mergeCell ref="A25:A28"/>
    <mergeCell ref="B31:E31"/>
    <mergeCell ref="C32:F32"/>
    <mergeCell ref="D1:O3"/>
    <mergeCell ref="A6:B6"/>
    <mergeCell ref="C6:F6"/>
    <mergeCell ref="A8:A11"/>
    <mergeCell ref="A14:A15"/>
    <mergeCell ref="C14:F1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61"/>
  <sheetViews>
    <sheetView topLeftCell="A2" zoomScale="120" zoomScaleNormal="120" workbookViewId="0">
      <selection activeCell="E16" sqref="E16"/>
    </sheetView>
  </sheetViews>
  <sheetFormatPr defaultRowHeight="15.3" x14ac:dyDescent="0.55000000000000004"/>
  <cols>
    <col min="1" max="1" width="17.59765625" customWidth="1"/>
    <col min="2" max="2" width="8.75" customWidth="1"/>
    <col min="5" max="6" width="10.25" customWidth="1"/>
    <col min="7" max="7" width="5" customWidth="1"/>
    <col min="8" max="8" width="6.84765625" customWidth="1"/>
    <col min="9" max="9" width="4.5" customWidth="1"/>
    <col min="12" max="12" width="11.59765625" customWidth="1"/>
  </cols>
  <sheetData>
    <row r="1" spans="1:15" ht="31.5" customHeight="1" x14ac:dyDescent="0.55000000000000004">
      <c r="A1" s="32" t="s">
        <v>0</v>
      </c>
      <c r="B1" s="1">
        <f>SUMPRODUCT(C8:F11,C16:F19)</f>
        <v>38.5</v>
      </c>
      <c r="D1" s="41" t="s">
        <v>18</v>
      </c>
      <c r="E1" s="41"/>
      <c r="F1" s="41"/>
      <c r="G1" s="41"/>
      <c r="H1" s="41"/>
      <c r="I1" s="41"/>
      <c r="J1" s="41"/>
      <c r="K1" s="41"/>
      <c r="L1" s="41"/>
      <c r="M1" s="41"/>
      <c r="N1" s="41"/>
      <c r="O1" s="41"/>
    </row>
    <row r="2" spans="1:15" ht="23.25" customHeight="1" x14ac:dyDescent="0.55000000000000004">
      <c r="A2" s="32" t="s">
        <v>3</v>
      </c>
      <c r="B2" s="1">
        <f>CEILING(B1,1)</f>
        <v>39</v>
      </c>
      <c r="D2" s="41"/>
      <c r="E2" s="41"/>
      <c r="F2" s="41"/>
      <c r="G2" s="41"/>
      <c r="H2" s="41"/>
      <c r="I2" s="41"/>
      <c r="J2" s="41"/>
      <c r="K2" s="41"/>
      <c r="L2" s="41"/>
      <c r="M2" s="41"/>
      <c r="N2" s="41"/>
      <c r="O2" s="41"/>
    </row>
    <row r="3" spans="1:15" ht="23.25" customHeight="1" x14ac:dyDescent="0.55000000000000004">
      <c r="A3" s="32" t="s">
        <v>23</v>
      </c>
      <c r="B3" s="1" t="b">
        <f>IF(AND(D25,E25,E26,C26,C27,D27,F25,F26,F27,C28,D28,E28),TRUE,FALSE)</f>
        <v>1</v>
      </c>
      <c r="D3" s="41"/>
      <c r="E3" s="41"/>
      <c r="F3" s="41"/>
      <c r="G3" s="41"/>
      <c r="H3" s="41"/>
      <c r="I3" s="41"/>
      <c r="J3" s="41"/>
      <c r="K3" s="41"/>
      <c r="L3" s="41"/>
      <c r="M3" s="41"/>
      <c r="N3" s="41"/>
      <c r="O3" s="41"/>
    </row>
    <row r="4" spans="1:15" ht="23.25" customHeight="1" x14ac:dyDescent="0.55000000000000004">
      <c r="A4" s="32" t="s">
        <v>22</v>
      </c>
      <c r="B4" s="1" t="b">
        <f>AND(H16:H19,C21:F21,J34,J42,J50,J58,J66,J74,J82,J90,J98,J106,J114,J122,J130,J138,J146)</f>
        <v>1</v>
      </c>
      <c r="D4" s="27"/>
      <c r="E4" s="27"/>
      <c r="F4" s="27"/>
      <c r="G4" s="27"/>
      <c r="H4" s="27"/>
      <c r="I4" s="27"/>
      <c r="J4" s="27"/>
      <c r="K4" s="27"/>
      <c r="L4" s="27"/>
      <c r="M4" s="27"/>
      <c r="N4" s="27"/>
      <c r="O4" s="27"/>
    </row>
    <row r="5" spans="1:15" x14ac:dyDescent="0.55000000000000004">
      <c r="A5" s="3"/>
      <c r="B5" s="4"/>
    </row>
    <row r="6" spans="1:15" ht="31.5" customHeight="1" x14ac:dyDescent="0.55000000000000004">
      <c r="A6" s="42" t="s">
        <v>21</v>
      </c>
      <c r="B6" s="42"/>
      <c r="C6" s="38" t="s">
        <v>11</v>
      </c>
      <c r="D6" s="38"/>
      <c r="E6" s="38"/>
      <c r="F6" s="38"/>
    </row>
    <row r="7" spans="1:15" x14ac:dyDescent="0.55000000000000004">
      <c r="A7" s="4"/>
      <c r="B7" s="35"/>
      <c r="C7" s="6">
        <v>1</v>
      </c>
      <c r="D7" s="6">
        <v>2</v>
      </c>
      <c r="E7" s="6">
        <v>3</v>
      </c>
      <c r="F7" s="6">
        <v>4</v>
      </c>
    </row>
    <row r="8" spans="1:15" x14ac:dyDescent="0.55000000000000004">
      <c r="A8" s="36" t="s">
        <v>12</v>
      </c>
      <c r="B8" s="5">
        <v>1</v>
      </c>
      <c r="C8" s="11"/>
      <c r="D8" s="6">
        <v>9.5</v>
      </c>
      <c r="E8" s="6">
        <v>12</v>
      </c>
      <c r="F8" s="6">
        <v>10</v>
      </c>
    </row>
    <row r="9" spans="1:15" x14ac:dyDescent="0.55000000000000004">
      <c r="A9" s="36"/>
      <c r="B9" s="5">
        <v>2</v>
      </c>
      <c r="C9" s="6">
        <v>6</v>
      </c>
      <c r="D9" s="11"/>
      <c r="E9" s="6">
        <v>10</v>
      </c>
      <c r="F9" s="6">
        <v>14</v>
      </c>
    </row>
    <row r="10" spans="1:15" x14ac:dyDescent="0.55000000000000004">
      <c r="A10" s="36"/>
      <c r="B10" s="5">
        <v>3</v>
      </c>
      <c r="C10" s="6">
        <v>10</v>
      </c>
      <c r="D10" s="6">
        <v>11</v>
      </c>
      <c r="E10" s="11"/>
      <c r="F10" s="6">
        <v>12</v>
      </c>
    </row>
    <row r="11" spans="1:15" x14ac:dyDescent="0.55000000000000004">
      <c r="A11" s="36"/>
      <c r="B11" s="5">
        <v>4</v>
      </c>
      <c r="C11" s="6">
        <v>7</v>
      </c>
      <c r="D11" s="6">
        <v>8</v>
      </c>
      <c r="E11" s="6">
        <v>15</v>
      </c>
      <c r="F11" s="11"/>
    </row>
    <row r="12" spans="1:15" x14ac:dyDescent="0.55000000000000004">
      <c r="A12" s="3"/>
      <c r="B12" s="4"/>
    </row>
    <row r="13" spans="1:15" x14ac:dyDescent="0.55000000000000004">
      <c r="A13" s="7" t="s">
        <v>4</v>
      </c>
    </row>
    <row r="14" spans="1:15" x14ac:dyDescent="0.55000000000000004">
      <c r="A14" s="39" t="s">
        <v>1</v>
      </c>
      <c r="C14" s="38" t="s">
        <v>11</v>
      </c>
      <c r="D14" s="38"/>
      <c r="E14" s="38"/>
      <c r="F14" s="38"/>
    </row>
    <row r="15" spans="1:15" x14ac:dyDescent="0.55000000000000004">
      <c r="A15" s="40"/>
      <c r="C15" s="24">
        <v>1</v>
      </c>
      <c r="D15" s="24">
        <v>2</v>
      </c>
      <c r="E15" s="24">
        <v>3</v>
      </c>
      <c r="F15" s="25">
        <v>4</v>
      </c>
    </row>
    <row r="16" spans="1:15" x14ac:dyDescent="0.55000000000000004">
      <c r="A16" s="36" t="s">
        <v>12</v>
      </c>
      <c r="B16" s="22">
        <v>1</v>
      </c>
      <c r="C16" s="11">
        <v>0</v>
      </c>
      <c r="D16" s="43">
        <v>1</v>
      </c>
      <c r="E16" s="43">
        <v>0</v>
      </c>
      <c r="F16" s="1">
        <v>0</v>
      </c>
      <c r="G16" s="28">
        <f>SUM(C16:F16)</f>
        <v>1</v>
      </c>
      <c r="H16" s="1" t="b">
        <f>IF(G16=1,TRUE,FALSE)</f>
        <v>1</v>
      </c>
    </row>
    <row r="17" spans="1:9" x14ac:dyDescent="0.55000000000000004">
      <c r="A17" s="36"/>
      <c r="B17" s="22">
        <v>2</v>
      </c>
      <c r="C17" s="1">
        <v>0</v>
      </c>
      <c r="D17" s="11">
        <v>0</v>
      </c>
      <c r="E17" s="1">
        <v>1</v>
      </c>
      <c r="F17" s="1">
        <v>0</v>
      </c>
      <c r="G17" s="28">
        <f t="shared" ref="G17:G19" si="0">SUM(C17:F17)</f>
        <v>1</v>
      </c>
      <c r="H17" s="1" t="b">
        <f t="shared" ref="H17:H19" si="1">IF(G17=1,TRUE,FALSE)</f>
        <v>1</v>
      </c>
    </row>
    <row r="18" spans="1:9" x14ac:dyDescent="0.55000000000000004">
      <c r="A18" s="36"/>
      <c r="B18" s="22">
        <v>3</v>
      </c>
      <c r="C18" s="1">
        <v>0</v>
      </c>
      <c r="D18" s="1">
        <v>0</v>
      </c>
      <c r="E18" s="11">
        <v>0</v>
      </c>
      <c r="F18" s="18">
        <v>1</v>
      </c>
      <c r="G18" s="28">
        <f t="shared" si="0"/>
        <v>1</v>
      </c>
      <c r="H18" s="1" t="b">
        <f t="shared" si="1"/>
        <v>1</v>
      </c>
    </row>
    <row r="19" spans="1:9" x14ac:dyDescent="0.55000000000000004">
      <c r="A19" s="36"/>
      <c r="B19" s="23">
        <v>4</v>
      </c>
      <c r="C19" s="1">
        <v>1</v>
      </c>
      <c r="D19" s="1">
        <v>0</v>
      </c>
      <c r="E19" s="18">
        <v>0</v>
      </c>
      <c r="F19" s="11">
        <v>0</v>
      </c>
      <c r="G19" s="28">
        <f t="shared" si="0"/>
        <v>1</v>
      </c>
      <c r="H19" s="1" t="b">
        <f t="shared" si="1"/>
        <v>1</v>
      </c>
    </row>
    <row r="20" spans="1:9" x14ac:dyDescent="0.55000000000000004">
      <c r="A20" s="12"/>
      <c r="B20" s="4"/>
      <c r="C20" s="29">
        <f>SUM(C16:C19)</f>
        <v>1</v>
      </c>
      <c r="D20" s="29">
        <f t="shared" ref="D20:F20" si="2">SUM(D16:D19)</f>
        <v>1</v>
      </c>
      <c r="E20" s="29">
        <f t="shared" si="2"/>
        <v>1</v>
      </c>
      <c r="F20" s="29">
        <f t="shared" si="2"/>
        <v>1</v>
      </c>
    </row>
    <row r="21" spans="1:9" x14ac:dyDescent="0.55000000000000004">
      <c r="A21" s="12"/>
      <c r="B21" s="4"/>
      <c r="C21" s="1" t="b">
        <f>IF(C20=1,TRUE,FALSE)</f>
        <v>1</v>
      </c>
      <c r="D21" s="1" t="b">
        <f t="shared" ref="D21:F21" si="3">IF(D20=1,TRUE,FALSE)</f>
        <v>1</v>
      </c>
      <c r="E21" s="1" t="b">
        <f t="shared" si="3"/>
        <v>1</v>
      </c>
      <c r="F21" s="1" t="b">
        <f t="shared" si="3"/>
        <v>1</v>
      </c>
    </row>
    <row r="22" spans="1:9" x14ac:dyDescent="0.55000000000000004">
      <c r="A22" s="12"/>
      <c r="B22" s="4"/>
      <c r="C22" s="4"/>
      <c r="D22" s="4"/>
      <c r="E22" s="15"/>
      <c r="F22" s="15"/>
    </row>
    <row r="23" spans="1:9" x14ac:dyDescent="0.55000000000000004">
      <c r="A23" s="39" t="s">
        <v>13</v>
      </c>
      <c r="C23" s="38" t="s">
        <v>11</v>
      </c>
      <c r="D23" s="38"/>
      <c r="E23" s="38"/>
      <c r="F23" s="38"/>
    </row>
    <row r="24" spans="1:9" x14ac:dyDescent="0.55000000000000004">
      <c r="A24" s="40"/>
      <c r="C24" s="24">
        <v>1</v>
      </c>
      <c r="D24" s="24">
        <v>2</v>
      </c>
      <c r="E24" s="24">
        <v>3</v>
      </c>
      <c r="F24" s="25">
        <v>4</v>
      </c>
    </row>
    <row r="25" spans="1:9" x14ac:dyDescent="0.55000000000000004">
      <c r="A25" s="36" t="s">
        <v>12</v>
      </c>
      <c r="B25" s="1">
        <v>1</v>
      </c>
      <c r="C25" s="11"/>
      <c r="D25" s="1" t="b">
        <f>IF(D16=FLOOR(D16,1),TRUE,FALSE)</f>
        <v>1</v>
      </c>
      <c r="E25" s="1" t="b">
        <f>IF(E16=FLOOR(E16,1),TRUE,FALSE)</f>
        <v>1</v>
      </c>
      <c r="F25" s="1" t="b">
        <f>IF(F16=FLOOR(F16,1),TRUE,FALSE)</f>
        <v>1</v>
      </c>
    </row>
    <row r="26" spans="1:9" x14ac:dyDescent="0.55000000000000004">
      <c r="A26" s="36"/>
      <c r="B26" s="1">
        <v>2</v>
      </c>
      <c r="C26" s="1" t="b">
        <f>IF(C17=FLOOR(C17,1),TRUE,FALSE)</f>
        <v>1</v>
      </c>
      <c r="D26" s="11"/>
      <c r="E26" s="1" t="b">
        <f>IF(E17=FLOOR(E17,1),TRUE,FALSE)</f>
        <v>1</v>
      </c>
      <c r="F26" s="1" t="b">
        <f>IF(F17=FLOOR(F17,1),TRUE,FALSE)</f>
        <v>1</v>
      </c>
    </row>
    <row r="27" spans="1:9" x14ac:dyDescent="0.55000000000000004">
      <c r="A27" s="36"/>
      <c r="B27" s="1">
        <v>3</v>
      </c>
      <c r="C27" s="1" t="b">
        <f>IF(C18=FLOOR(C18,1),TRUE,FALSE)</f>
        <v>1</v>
      </c>
      <c r="D27" s="1" t="b">
        <f>IF(D18=FLOOR(D18,1),TRUE,FALSE)</f>
        <v>1</v>
      </c>
      <c r="E27" s="11"/>
      <c r="F27" s="1" t="b">
        <f>IF(F18=FLOOR(F18,1),TRUE,FALSE)</f>
        <v>1</v>
      </c>
    </row>
    <row r="28" spans="1:9" ht="15.6" customHeight="1" x14ac:dyDescent="0.55000000000000004">
      <c r="A28" s="36"/>
      <c r="B28" s="19">
        <v>4</v>
      </c>
      <c r="C28" s="1" t="b">
        <f>IF(C19=FLOOR(C19,1),TRUE,FALSE)</f>
        <v>1</v>
      </c>
      <c r="D28" s="1" t="b">
        <f>IF(D19=FLOOR(D19,1),TRUE,FALSE)</f>
        <v>1</v>
      </c>
      <c r="E28" s="1" t="b">
        <f>IF(E19=FLOOR(E19,1),TRUE,FALSE)</f>
        <v>1</v>
      </c>
      <c r="F28" s="11"/>
    </row>
    <row r="29" spans="1:9" x14ac:dyDescent="0.55000000000000004">
      <c r="A29" s="3"/>
      <c r="B29" s="4"/>
      <c r="C29" s="4"/>
      <c r="D29" s="4"/>
    </row>
    <row r="31" spans="1:9" x14ac:dyDescent="0.55000000000000004">
      <c r="A31" t="s">
        <v>2</v>
      </c>
      <c r="B31" s="37" t="s">
        <v>20</v>
      </c>
      <c r="C31" s="37"/>
      <c r="D31" s="37"/>
      <c r="E31" s="37"/>
      <c r="F31" s="33"/>
      <c r="G31" s="13"/>
      <c r="H31" s="13"/>
      <c r="I31" s="4"/>
    </row>
    <row r="32" spans="1:9" x14ac:dyDescent="0.55000000000000004">
      <c r="C32" s="38" t="s">
        <v>11</v>
      </c>
      <c r="D32" s="38"/>
      <c r="E32" s="38"/>
      <c r="F32" s="38"/>
      <c r="G32" s="4"/>
      <c r="H32" s="4"/>
      <c r="I32" s="4"/>
    </row>
    <row r="33" spans="1:10" x14ac:dyDescent="0.55000000000000004">
      <c r="C33" s="10">
        <v>1</v>
      </c>
      <c r="D33" s="10">
        <v>2</v>
      </c>
      <c r="E33" s="10">
        <v>3</v>
      </c>
      <c r="F33" s="20">
        <v>4</v>
      </c>
      <c r="G33" s="4"/>
      <c r="H33" s="4"/>
      <c r="I33" s="4"/>
    </row>
    <row r="34" spans="1:10" x14ac:dyDescent="0.55000000000000004">
      <c r="A34" s="36" t="s">
        <v>12</v>
      </c>
      <c r="B34" s="1">
        <v>1</v>
      </c>
      <c r="C34" s="11" t="s">
        <v>14</v>
      </c>
      <c r="D34" s="1">
        <v>1</v>
      </c>
      <c r="E34" s="1">
        <v>1</v>
      </c>
      <c r="F34" s="1">
        <v>1</v>
      </c>
      <c r="G34" s="4">
        <f>SUMPRODUCT(C34:F37,$C$16:$F$19)</f>
        <v>4</v>
      </c>
      <c r="H34" s="4" t="s">
        <v>15</v>
      </c>
      <c r="I34" s="14">
        <v>4</v>
      </c>
      <c r="J34" t="b">
        <f>IF(G34=I34,TRUE,FALSE)</f>
        <v>1</v>
      </c>
    </row>
    <row r="35" spans="1:10" x14ac:dyDescent="0.55000000000000004">
      <c r="A35" s="36"/>
      <c r="B35" s="1">
        <v>2</v>
      </c>
      <c r="C35" s="1">
        <v>1</v>
      </c>
      <c r="D35" s="11"/>
      <c r="E35" s="1">
        <v>1</v>
      </c>
      <c r="F35" s="1">
        <v>1</v>
      </c>
      <c r="G35" s="4"/>
      <c r="H35" s="4"/>
      <c r="I35" s="4"/>
    </row>
    <row r="36" spans="1:10" x14ac:dyDescent="0.55000000000000004">
      <c r="A36" s="36"/>
      <c r="B36" s="1">
        <v>3</v>
      </c>
      <c r="C36" s="1">
        <v>1</v>
      </c>
      <c r="D36" s="1">
        <v>1</v>
      </c>
      <c r="E36" s="11"/>
      <c r="F36" s="1">
        <v>1</v>
      </c>
      <c r="G36" s="14"/>
      <c r="H36" s="14"/>
      <c r="I36" s="4"/>
    </row>
    <row r="37" spans="1:10" x14ac:dyDescent="0.55000000000000004">
      <c r="A37" s="36"/>
      <c r="B37" s="19">
        <v>4</v>
      </c>
      <c r="C37" s="1">
        <v>1</v>
      </c>
      <c r="D37" s="1">
        <v>1</v>
      </c>
      <c r="E37" s="11"/>
      <c r="F37" s="1">
        <v>1</v>
      </c>
      <c r="G37" s="14"/>
      <c r="H37" s="14"/>
      <c r="I37" s="4"/>
    </row>
    <row r="38" spans="1:10" x14ac:dyDescent="0.55000000000000004">
      <c r="B38" s="4"/>
      <c r="C38" s="4"/>
      <c r="D38" s="4"/>
      <c r="E38" s="4"/>
      <c r="F38" s="4"/>
      <c r="G38" s="14"/>
      <c r="H38" s="14"/>
      <c r="I38" s="4"/>
    </row>
    <row r="39" spans="1:10" x14ac:dyDescent="0.55000000000000004">
      <c r="B39" s="37" t="s">
        <v>19</v>
      </c>
      <c r="C39" s="37"/>
      <c r="D39" s="37"/>
      <c r="E39" s="37"/>
      <c r="F39" s="33"/>
      <c r="G39" s="14"/>
      <c r="H39" s="14"/>
      <c r="I39" s="4"/>
    </row>
    <row r="40" spans="1:10" x14ac:dyDescent="0.55000000000000004">
      <c r="C40" s="38" t="s">
        <v>11</v>
      </c>
      <c r="D40" s="38"/>
      <c r="E40" s="38"/>
      <c r="F40" s="38"/>
      <c r="G40" s="14"/>
      <c r="H40" s="14"/>
      <c r="I40" s="4"/>
    </row>
    <row r="41" spans="1:10" x14ac:dyDescent="0.55000000000000004">
      <c r="C41" s="10">
        <v>1</v>
      </c>
      <c r="D41" s="10">
        <v>2</v>
      </c>
      <c r="E41" s="10">
        <v>3</v>
      </c>
      <c r="F41" s="20">
        <v>4</v>
      </c>
    </row>
    <row r="42" spans="1:10" x14ac:dyDescent="0.55000000000000004">
      <c r="A42" s="36" t="s">
        <v>12</v>
      </c>
      <c r="B42" s="1">
        <v>1</v>
      </c>
      <c r="C42" s="11"/>
      <c r="D42" s="1">
        <v>1</v>
      </c>
      <c r="E42" s="1"/>
      <c r="F42" s="1"/>
      <c r="G42" s="4">
        <f>SUMPRODUCT(C42:F45,$C$16:$F$19)</f>
        <v>2</v>
      </c>
      <c r="H42" s="17" t="s">
        <v>17</v>
      </c>
      <c r="I42" s="14">
        <v>2</v>
      </c>
      <c r="J42" t="b">
        <f>IF(G42&lt;=I42,TRUE,FALSE)</f>
        <v>1</v>
      </c>
    </row>
    <row r="43" spans="1:10" x14ac:dyDescent="0.55000000000000004">
      <c r="A43" s="36"/>
      <c r="B43" s="1">
        <v>2</v>
      </c>
      <c r="C43" s="1"/>
      <c r="D43" s="11"/>
      <c r="E43" s="1">
        <v>1</v>
      </c>
      <c r="F43" s="1"/>
    </row>
    <row r="44" spans="1:10" x14ac:dyDescent="0.55000000000000004">
      <c r="A44" s="36"/>
      <c r="B44" s="1">
        <v>3</v>
      </c>
      <c r="C44" s="1">
        <v>1</v>
      </c>
      <c r="D44" s="1"/>
      <c r="E44" s="11"/>
      <c r="F44" s="18"/>
    </row>
    <row r="45" spans="1:10" x14ac:dyDescent="0.55000000000000004">
      <c r="A45" s="36"/>
      <c r="B45" s="19">
        <v>4</v>
      </c>
      <c r="C45" s="1"/>
      <c r="D45" s="1"/>
      <c r="E45" s="18"/>
      <c r="F45" s="11"/>
    </row>
    <row r="47" spans="1:10" x14ac:dyDescent="0.55000000000000004">
      <c r="B47" s="37" t="s">
        <v>19</v>
      </c>
      <c r="C47" s="37"/>
      <c r="D47" s="37"/>
      <c r="E47" s="37"/>
      <c r="F47" s="33"/>
    </row>
    <row r="48" spans="1:10" x14ac:dyDescent="0.55000000000000004">
      <c r="C48" s="38" t="s">
        <v>11</v>
      </c>
      <c r="D48" s="38"/>
      <c r="E48" s="38"/>
      <c r="F48" s="38"/>
    </row>
    <row r="49" spans="1:10" x14ac:dyDescent="0.55000000000000004">
      <c r="C49" s="10">
        <v>1</v>
      </c>
      <c r="D49" s="10">
        <v>2</v>
      </c>
      <c r="E49" s="10">
        <v>3</v>
      </c>
      <c r="F49" s="20">
        <v>4</v>
      </c>
    </row>
    <row r="50" spans="1:10" x14ac:dyDescent="0.55000000000000004">
      <c r="A50" s="36" t="s">
        <v>12</v>
      </c>
      <c r="B50" s="1">
        <v>1</v>
      </c>
      <c r="C50" s="11" t="s">
        <v>14</v>
      </c>
      <c r="D50" s="1">
        <v>1</v>
      </c>
      <c r="E50" s="1"/>
      <c r="F50" s="1"/>
      <c r="G50" s="4">
        <f>SUMPRODUCT(C50:F53,$C$16:$F$19)</f>
        <v>2</v>
      </c>
      <c r="H50" s="17" t="s">
        <v>17</v>
      </c>
      <c r="I50" s="14">
        <v>2</v>
      </c>
      <c r="J50" t="b">
        <f>IF(G50&lt;=I50,TRUE,FALSE)</f>
        <v>1</v>
      </c>
    </row>
    <row r="51" spans="1:10" x14ac:dyDescent="0.55000000000000004">
      <c r="A51" s="36"/>
      <c r="B51" s="1">
        <v>2</v>
      </c>
      <c r="C51" s="1"/>
      <c r="D51" s="11"/>
      <c r="E51" s="1"/>
      <c r="F51" s="1">
        <v>1</v>
      </c>
    </row>
    <row r="52" spans="1:10" x14ac:dyDescent="0.55000000000000004">
      <c r="A52" s="36"/>
      <c r="B52" s="1">
        <v>3</v>
      </c>
      <c r="C52" s="1"/>
      <c r="D52" s="1"/>
      <c r="E52" s="11"/>
      <c r="F52" s="18"/>
    </row>
    <row r="53" spans="1:10" x14ac:dyDescent="0.55000000000000004">
      <c r="A53" s="36"/>
      <c r="B53" s="19">
        <v>4</v>
      </c>
      <c r="C53" s="1">
        <v>1</v>
      </c>
      <c r="D53" s="1"/>
      <c r="E53" s="18"/>
      <c r="F53" s="11"/>
    </row>
    <row r="55" spans="1:10" x14ac:dyDescent="0.55000000000000004">
      <c r="B55" s="37" t="s">
        <v>19</v>
      </c>
      <c r="C55" s="37"/>
      <c r="D55" s="37"/>
      <c r="E55" s="37"/>
      <c r="F55" s="33"/>
    </row>
    <row r="56" spans="1:10" x14ac:dyDescent="0.55000000000000004">
      <c r="C56" s="38" t="s">
        <v>11</v>
      </c>
      <c r="D56" s="38"/>
      <c r="E56" s="38"/>
      <c r="F56" s="38"/>
    </row>
    <row r="57" spans="1:10" x14ac:dyDescent="0.55000000000000004">
      <c r="C57" s="10">
        <v>1</v>
      </c>
      <c r="D57" s="10">
        <v>2</v>
      </c>
      <c r="E57" s="10">
        <v>3</v>
      </c>
      <c r="F57" s="20">
        <v>4</v>
      </c>
    </row>
    <row r="58" spans="1:10" x14ac:dyDescent="0.55000000000000004">
      <c r="A58" s="36" t="s">
        <v>12</v>
      </c>
      <c r="B58" s="1">
        <v>1</v>
      </c>
      <c r="C58" s="11" t="s">
        <v>14</v>
      </c>
      <c r="D58" s="1"/>
      <c r="E58" s="1">
        <v>1</v>
      </c>
      <c r="F58" s="1"/>
      <c r="G58" s="4">
        <f>SUMPRODUCT(C58:F61,$C$16:$F$19)</f>
        <v>2</v>
      </c>
      <c r="H58" s="17" t="s">
        <v>17</v>
      </c>
      <c r="I58" s="14">
        <v>2</v>
      </c>
      <c r="J58" t="b">
        <f>IF(G58&lt;=I58,TRUE,FALSE)</f>
        <v>1</v>
      </c>
    </row>
    <row r="59" spans="1:10" x14ac:dyDescent="0.55000000000000004">
      <c r="A59" s="36"/>
      <c r="B59" s="1">
        <v>2</v>
      </c>
      <c r="C59" s="1"/>
      <c r="D59" s="11"/>
      <c r="E59" s="1"/>
      <c r="F59" s="1"/>
    </row>
    <row r="60" spans="1:10" x14ac:dyDescent="0.55000000000000004">
      <c r="A60" s="36"/>
      <c r="B60" s="1">
        <v>3</v>
      </c>
      <c r="C60" s="1"/>
      <c r="D60" s="1"/>
      <c r="E60" s="11"/>
      <c r="F60" s="18">
        <v>1</v>
      </c>
    </row>
    <row r="61" spans="1:10" x14ac:dyDescent="0.55000000000000004">
      <c r="A61" s="36"/>
      <c r="B61" s="19">
        <v>4</v>
      </c>
      <c r="C61" s="1">
        <v>1</v>
      </c>
      <c r="D61" s="1"/>
      <c r="E61" s="18"/>
      <c r="F61" s="18"/>
    </row>
    <row r="62" spans="1:10" x14ac:dyDescent="0.55000000000000004">
      <c r="B62" s="4"/>
      <c r="C62" s="4"/>
      <c r="D62" s="4"/>
      <c r="E62" s="15"/>
      <c r="F62" s="15"/>
    </row>
    <row r="63" spans="1:10" x14ac:dyDescent="0.55000000000000004">
      <c r="B63" s="37" t="s">
        <v>19</v>
      </c>
      <c r="C63" s="37"/>
      <c r="D63" s="37"/>
      <c r="E63" s="37"/>
      <c r="F63" s="33"/>
    </row>
    <row r="64" spans="1:10" x14ac:dyDescent="0.55000000000000004">
      <c r="C64" s="38" t="s">
        <v>11</v>
      </c>
      <c r="D64" s="38"/>
      <c r="E64" s="38"/>
      <c r="F64" s="38"/>
    </row>
    <row r="65" spans="1:10" x14ac:dyDescent="0.55000000000000004">
      <c r="C65" s="10">
        <v>1</v>
      </c>
      <c r="D65" s="10">
        <v>2</v>
      </c>
      <c r="E65" s="10">
        <v>3</v>
      </c>
      <c r="F65" s="20">
        <v>4</v>
      </c>
    </row>
    <row r="66" spans="1:10" x14ac:dyDescent="0.55000000000000004">
      <c r="A66" s="36" t="s">
        <v>12</v>
      </c>
      <c r="B66" s="1">
        <v>1</v>
      </c>
      <c r="C66" s="11" t="s">
        <v>14</v>
      </c>
      <c r="D66" s="1"/>
      <c r="E66" s="1"/>
      <c r="F66" s="1"/>
      <c r="G66" s="4">
        <f>SUMPRODUCT(C66:F69,$C$16:$F$19)</f>
        <v>2</v>
      </c>
      <c r="H66" s="17" t="s">
        <v>17</v>
      </c>
      <c r="I66" s="14">
        <v>2</v>
      </c>
      <c r="J66" t="b">
        <f>IF(G66&lt;=I66,TRUE,FALSE)</f>
        <v>1</v>
      </c>
    </row>
    <row r="67" spans="1:10" x14ac:dyDescent="0.55000000000000004">
      <c r="A67" s="36"/>
      <c r="B67" s="1">
        <v>2</v>
      </c>
      <c r="C67" s="1"/>
      <c r="D67" s="11"/>
      <c r="E67" s="1">
        <v>1</v>
      </c>
      <c r="F67" s="1"/>
    </row>
    <row r="68" spans="1:10" x14ac:dyDescent="0.55000000000000004">
      <c r="A68" s="36"/>
      <c r="B68" s="1">
        <v>3</v>
      </c>
      <c r="C68" s="1"/>
      <c r="D68" s="1"/>
      <c r="E68" s="11"/>
      <c r="F68" s="18">
        <v>1</v>
      </c>
    </row>
    <row r="69" spans="1:10" x14ac:dyDescent="0.55000000000000004">
      <c r="A69" s="36"/>
      <c r="B69" s="19">
        <v>4</v>
      </c>
      <c r="C69" s="1"/>
      <c r="D69" s="1">
        <v>1</v>
      </c>
      <c r="E69" s="18"/>
      <c r="F69" s="18"/>
    </row>
    <row r="70" spans="1:10" x14ac:dyDescent="0.55000000000000004">
      <c r="B70" s="4"/>
      <c r="C70" s="4"/>
      <c r="D70" s="4"/>
      <c r="E70" s="4"/>
      <c r="F70" s="4"/>
      <c r="G70" s="14"/>
      <c r="H70" s="14"/>
      <c r="I70" s="4"/>
    </row>
    <row r="71" spans="1:10" x14ac:dyDescent="0.55000000000000004">
      <c r="B71" s="37" t="s">
        <v>19</v>
      </c>
      <c r="C71" s="37"/>
      <c r="D71" s="37"/>
      <c r="E71" s="37"/>
      <c r="F71" s="33"/>
      <c r="G71" s="14"/>
      <c r="H71" s="14"/>
      <c r="I71" s="4"/>
    </row>
    <row r="72" spans="1:10" x14ac:dyDescent="0.55000000000000004">
      <c r="C72" s="38" t="s">
        <v>11</v>
      </c>
      <c r="D72" s="38"/>
      <c r="E72" s="38"/>
      <c r="F72" s="38"/>
      <c r="G72" s="14"/>
      <c r="H72" s="14"/>
      <c r="I72" s="4"/>
    </row>
    <row r="73" spans="1:10" x14ac:dyDescent="0.55000000000000004">
      <c r="C73" s="10">
        <v>1</v>
      </c>
      <c r="D73" s="10">
        <v>2</v>
      </c>
      <c r="E73" s="10">
        <v>3</v>
      </c>
      <c r="F73" s="20">
        <v>4</v>
      </c>
    </row>
    <row r="74" spans="1:10" x14ac:dyDescent="0.55000000000000004">
      <c r="A74" s="36" t="s">
        <v>12</v>
      </c>
      <c r="B74" s="1">
        <v>1</v>
      </c>
      <c r="C74" s="11"/>
      <c r="D74" s="1"/>
      <c r="E74" s="1">
        <v>1</v>
      </c>
      <c r="F74" s="1"/>
      <c r="G74" s="4">
        <f>SUMPRODUCT(C74:F77,$C$16:$F$19)</f>
        <v>0</v>
      </c>
      <c r="H74" s="17" t="s">
        <v>17</v>
      </c>
      <c r="I74" s="14">
        <v>2</v>
      </c>
      <c r="J74" t="b">
        <f>IF(G74&lt;=I74,TRUE,FALSE)</f>
        <v>1</v>
      </c>
    </row>
    <row r="75" spans="1:10" x14ac:dyDescent="0.55000000000000004">
      <c r="A75" s="36"/>
      <c r="B75" s="1">
        <v>2</v>
      </c>
      <c r="C75" s="1">
        <v>1</v>
      </c>
      <c r="D75" s="11"/>
      <c r="E75" s="1"/>
      <c r="F75" s="1"/>
    </row>
    <row r="76" spans="1:10" x14ac:dyDescent="0.55000000000000004">
      <c r="A76" s="36"/>
      <c r="B76" s="1">
        <v>3</v>
      </c>
      <c r="C76" s="1"/>
      <c r="D76" s="1">
        <v>1</v>
      </c>
      <c r="E76" s="11"/>
      <c r="F76" s="18"/>
    </row>
    <row r="77" spans="1:10" x14ac:dyDescent="0.55000000000000004">
      <c r="A77" s="36"/>
      <c r="B77" s="19">
        <v>4</v>
      </c>
      <c r="C77" s="1"/>
      <c r="D77" s="1"/>
      <c r="E77" s="18"/>
      <c r="F77" s="11"/>
    </row>
    <row r="79" spans="1:10" x14ac:dyDescent="0.55000000000000004">
      <c r="B79" s="37" t="s">
        <v>19</v>
      </c>
      <c r="C79" s="37"/>
      <c r="D79" s="37"/>
      <c r="E79" s="37"/>
      <c r="F79" s="33"/>
    </row>
    <row r="80" spans="1:10" x14ac:dyDescent="0.55000000000000004">
      <c r="C80" s="38" t="s">
        <v>11</v>
      </c>
      <c r="D80" s="38"/>
      <c r="E80" s="38"/>
      <c r="F80" s="38"/>
    </row>
    <row r="81" spans="1:10" x14ac:dyDescent="0.55000000000000004">
      <c r="C81" s="10">
        <v>1</v>
      </c>
      <c r="D81" s="10">
        <v>2</v>
      </c>
      <c r="E81" s="10">
        <v>3</v>
      </c>
      <c r="F81" s="20">
        <v>4</v>
      </c>
    </row>
    <row r="82" spans="1:10" x14ac:dyDescent="0.55000000000000004">
      <c r="A82" s="36" t="s">
        <v>12</v>
      </c>
      <c r="B82" s="1">
        <v>1</v>
      </c>
      <c r="C82" s="11" t="s">
        <v>14</v>
      </c>
      <c r="D82" s="1"/>
      <c r="E82" s="1"/>
      <c r="F82" s="1">
        <v>1</v>
      </c>
      <c r="G82" s="4">
        <f>SUMPRODUCT(C82:F85,$C$16:$F$19)</f>
        <v>0</v>
      </c>
      <c r="H82" s="17" t="s">
        <v>17</v>
      </c>
      <c r="I82" s="14">
        <v>2</v>
      </c>
      <c r="J82" t="b">
        <f>IF(G82&lt;=I82,TRUE,FALSE)</f>
        <v>1</v>
      </c>
    </row>
    <row r="83" spans="1:10" x14ac:dyDescent="0.55000000000000004">
      <c r="A83" s="36"/>
      <c r="B83" s="1">
        <v>2</v>
      </c>
      <c r="C83" s="1">
        <v>1</v>
      </c>
      <c r="D83" s="11"/>
      <c r="E83" s="1"/>
      <c r="F83" s="1"/>
    </row>
    <row r="84" spans="1:10" x14ac:dyDescent="0.55000000000000004">
      <c r="A84" s="36"/>
      <c r="B84" s="1">
        <v>3</v>
      </c>
      <c r="C84" s="1"/>
      <c r="D84" s="1"/>
      <c r="E84" s="11"/>
      <c r="F84" s="18"/>
    </row>
    <row r="85" spans="1:10" x14ac:dyDescent="0.55000000000000004">
      <c r="A85" s="36"/>
      <c r="B85" s="19">
        <v>4</v>
      </c>
      <c r="C85" s="1"/>
      <c r="D85" s="1">
        <v>1</v>
      </c>
      <c r="E85" s="18"/>
      <c r="F85" s="11"/>
    </row>
    <row r="87" spans="1:10" x14ac:dyDescent="0.55000000000000004">
      <c r="B87" s="37" t="s">
        <v>19</v>
      </c>
      <c r="C87" s="37"/>
      <c r="D87" s="37"/>
      <c r="E87" s="37"/>
      <c r="F87" s="33"/>
    </row>
    <row r="88" spans="1:10" x14ac:dyDescent="0.55000000000000004">
      <c r="C88" s="38" t="s">
        <v>11</v>
      </c>
      <c r="D88" s="38"/>
      <c r="E88" s="38"/>
      <c r="F88" s="38"/>
    </row>
    <row r="89" spans="1:10" x14ac:dyDescent="0.55000000000000004">
      <c r="C89" s="10">
        <v>1</v>
      </c>
      <c r="D89" s="10">
        <v>2</v>
      </c>
      <c r="E89" s="10">
        <v>3</v>
      </c>
      <c r="F89" s="20">
        <v>4</v>
      </c>
    </row>
    <row r="90" spans="1:10" x14ac:dyDescent="0.55000000000000004">
      <c r="A90" s="36" t="s">
        <v>12</v>
      </c>
      <c r="B90" s="1">
        <v>1</v>
      </c>
      <c r="C90" s="11" t="s">
        <v>14</v>
      </c>
      <c r="D90" s="1"/>
      <c r="E90" s="1">
        <v>1</v>
      </c>
      <c r="F90" s="1"/>
      <c r="G90" s="4">
        <f>SUMPRODUCT(C90:F93,$C$16:$F$19)</f>
        <v>2</v>
      </c>
      <c r="H90" s="17" t="s">
        <v>17</v>
      </c>
      <c r="I90" s="14">
        <v>2</v>
      </c>
      <c r="J90" t="b">
        <f>IF(G90&lt;=I90,TRUE,FALSE)</f>
        <v>1</v>
      </c>
    </row>
    <row r="91" spans="1:10" x14ac:dyDescent="0.55000000000000004">
      <c r="A91" s="36"/>
      <c r="B91" s="1">
        <v>2</v>
      </c>
      <c r="C91" s="1"/>
      <c r="D91" s="11"/>
      <c r="E91" s="1"/>
      <c r="F91" s="1"/>
    </row>
    <row r="92" spans="1:10" x14ac:dyDescent="0.55000000000000004">
      <c r="A92" s="36"/>
      <c r="B92" s="1">
        <v>3</v>
      </c>
      <c r="C92" s="1"/>
      <c r="D92" s="1"/>
      <c r="E92" s="11"/>
      <c r="F92" s="18">
        <v>1</v>
      </c>
    </row>
    <row r="93" spans="1:10" x14ac:dyDescent="0.55000000000000004">
      <c r="A93" s="36"/>
      <c r="B93" s="19">
        <v>4</v>
      </c>
      <c r="C93" s="1">
        <v>1</v>
      </c>
      <c r="D93" s="1"/>
      <c r="E93" s="18"/>
      <c r="F93" s="18"/>
    </row>
    <row r="94" spans="1:10" x14ac:dyDescent="0.55000000000000004">
      <c r="B94" s="4"/>
      <c r="C94" s="4"/>
      <c r="D94" s="4"/>
      <c r="E94" s="15"/>
      <c r="F94" s="15"/>
    </row>
    <row r="95" spans="1:10" x14ac:dyDescent="0.55000000000000004">
      <c r="B95" s="37" t="s">
        <v>19</v>
      </c>
      <c r="C95" s="37"/>
      <c r="D95" s="37"/>
      <c r="E95" s="37"/>
      <c r="F95" s="33"/>
    </row>
    <row r="96" spans="1:10" x14ac:dyDescent="0.55000000000000004">
      <c r="C96" s="38" t="s">
        <v>11</v>
      </c>
      <c r="D96" s="38"/>
      <c r="E96" s="38"/>
      <c r="F96" s="38"/>
    </row>
    <row r="97" spans="1:10" x14ac:dyDescent="0.55000000000000004">
      <c r="C97" s="10">
        <v>1</v>
      </c>
      <c r="D97" s="10">
        <v>2</v>
      </c>
      <c r="E97" s="10">
        <v>3</v>
      </c>
      <c r="F97" s="20">
        <v>4</v>
      </c>
    </row>
    <row r="98" spans="1:10" x14ac:dyDescent="0.55000000000000004">
      <c r="A98" s="36" t="s">
        <v>12</v>
      </c>
      <c r="B98" s="1">
        <v>1</v>
      </c>
      <c r="C98" s="11" t="s">
        <v>14</v>
      </c>
      <c r="D98" s="1"/>
      <c r="E98" s="1"/>
      <c r="F98" s="1"/>
      <c r="G98" s="4">
        <f>SUMPRODUCT(C98:F101,$C$16:$F$19)</f>
        <v>0</v>
      </c>
      <c r="H98" s="17" t="s">
        <v>17</v>
      </c>
      <c r="I98" s="14">
        <v>2</v>
      </c>
      <c r="J98" t="b">
        <f>IF(G98&lt;=I98,TRUE,FALSE)</f>
        <v>1</v>
      </c>
    </row>
    <row r="99" spans="1:10" x14ac:dyDescent="0.55000000000000004">
      <c r="A99" s="36"/>
      <c r="B99" s="1">
        <v>2</v>
      </c>
      <c r="C99" s="1"/>
      <c r="D99" s="11"/>
      <c r="E99" s="1"/>
      <c r="F99" s="1">
        <v>1</v>
      </c>
    </row>
    <row r="100" spans="1:10" x14ac:dyDescent="0.55000000000000004">
      <c r="A100" s="36"/>
      <c r="B100" s="1">
        <v>3</v>
      </c>
      <c r="C100" s="1"/>
      <c r="D100" s="1">
        <v>1</v>
      </c>
      <c r="E100" s="11"/>
      <c r="F100" s="18"/>
    </row>
    <row r="101" spans="1:10" x14ac:dyDescent="0.55000000000000004">
      <c r="A101" s="36"/>
      <c r="B101" s="19">
        <v>4</v>
      </c>
      <c r="C101" s="1"/>
      <c r="D101" s="1"/>
      <c r="E101" s="18">
        <v>1</v>
      </c>
      <c r="F101" s="18"/>
    </row>
    <row r="102" spans="1:10" x14ac:dyDescent="0.55000000000000004">
      <c r="B102" s="4"/>
      <c r="C102" s="4"/>
      <c r="D102" s="4"/>
      <c r="E102" s="15"/>
      <c r="F102" s="15"/>
    </row>
    <row r="103" spans="1:10" x14ac:dyDescent="0.55000000000000004">
      <c r="B103" s="37" t="s">
        <v>16</v>
      </c>
      <c r="C103" s="37"/>
      <c r="D103" s="37"/>
      <c r="E103" s="37"/>
      <c r="F103" s="33"/>
    </row>
    <row r="104" spans="1:10" x14ac:dyDescent="0.55000000000000004">
      <c r="C104" s="38" t="s">
        <v>11</v>
      </c>
      <c r="D104" s="38"/>
      <c r="E104" s="38"/>
      <c r="F104" s="38"/>
    </row>
    <row r="105" spans="1:10" x14ac:dyDescent="0.55000000000000004">
      <c r="C105" s="10">
        <v>1</v>
      </c>
      <c r="D105" s="10">
        <v>2</v>
      </c>
      <c r="E105" s="10">
        <v>3</v>
      </c>
      <c r="F105" s="20">
        <v>4</v>
      </c>
    </row>
    <row r="106" spans="1:10" x14ac:dyDescent="0.55000000000000004">
      <c r="A106" s="36" t="s">
        <v>12</v>
      </c>
      <c r="B106" s="1">
        <v>1</v>
      </c>
      <c r="C106" s="11" t="s">
        <v>14</v>
      </c>
      <c r="D106" s="1">
        <v>1</v>
      </c>
      <c r="E106" s="1"/>
      <c r="F106" s="1"/>
      <c r="G106" s="4">
        <f>SUMPRODUCT(C106:F109,$C$16:$F$19)</f>
        <v>1</v>
      </c>
      <c r="H106" s="17" t="s">
        <v>17</v>
      </c>
      <c r="I106" s="14">
        <v>1</v>
      </c>
      <c r="J106" t="b">
        <f>IF(G106&lt;=I106,TRUE,FALSE)</f>
        <v>1</v>
      </c>
    </row>
    <row r="107" spans="1:10" x14ac:dyDescent="0.55000000000000004">
      <c r="A107" s="36"/>
      <c r="B107" s="1">
        <v>2</v>
      </c>
      <c r="C107" s="1">
        <v>1</v>
      </c>
      <c r="D107" s="11"/>
      <c r="E107" s="1"/>
      <c r="F107" s="1"/>
    </row>
    <row r="108" spans="1:10" x14ac:dyDescent="0.55000000000000004">
      <c r="A108" s="36"/>
      <c r="B108" s="1">
        <v>3</v>
      </c>
      <c r="C108" s="1"/>
      <c r="D108" s="1"/>
      <c r="E108" s="11"/>
      <c r="F108" s="18"/>
    </row>
    <row r="109" spans="1:10" x14ac:dyDescent="0.55000000000000004">
      <c r="A109" s="36"/>
      <c r="B109" s="19">
        <v>4</v>
      </c>
      <c r="C109" s="1"/>
      <c r="D109" s="1"/>
      <c r="E109" s="1"/>
      <c r="F109" s="1"/>
    </row>
    <row r="110" spans="1:10" x14ac:dyDescent="0.55000000000000004">
      <c r="B110" s="14"/>
    </row>
    <row r="111" spans="1:10" x14ac:dyDescent="0.55000000000000004">
      <c r="B111" s="37" t="s">
        <v>16</v>
      </c>
      <c r="C111" s="37"/>
      <c r="D111" s="37"/>
      <c r="E111" s="37"/>
      <c r="F111" s="33"/>
    </row>
    <row r="112" spans="1:10" x14ac:dyDescent="0.55000000000000004">
      <c r="C112" s="38" t="s">
        <v>11</v>
      </c>
      <c r="D112" s="38"/>
      <c r="E112" s="38"/>
      <c r="F112" s="38"/>
    </row>
    <row r="113" spans="1:10" x14ac:dyDescent="0.55000000000000004">
      <c r="C113" s="10">
        <v>1</v>
      </c>
      <c r="D113" s="10">
        <v>2</v>
      </c>
      <c r="E113" s="10">
        <v>3</v>
      </c>
      <c r="F113" s="20">
        <v>4</v>
      </c>
    </row>
    <row r="114" spans="1:10" x14ac:dyDescent="0.55000000000000004">
      <c r="A114" s="36" t="s">
        <v>12</v>
      </c>
      <c r="B114" s="1">
        <v>1</v>
      </c>
      <c r="C114" s="11" t="s">
        <v>14</v>
      </c>
      <c r="D114" s="1"/>
      <c r="E114" s="1">
        <v>1</v>
      </c>
      <c r="F114" s="1"/>
      <c r="G114" s="4">
        <f>SUMPRODUCT(C114:F117,$C$16:$F$19)</f>
        <v>0</v>
      </c>
      <c r="H114" s="17" t="s">
        <v>17</v>
      </c>
      <c r="I114" s="14">
        <v>1</v>
      </c>
      <c r="J114" t="b">
        <f>IF(G114&lt;=I114,TRUE,FALSE)</f>
        <v>1</v>
      </c>
    </row>
    <row r="115" spans="1:10" x14ac:dyDescent="0.55000000000000004">
      <c r="A115" s="36"/>
      <c r="B115" s="1">
        <v>2</v>
      </c>
      <c r="C115" s="1"/>
      <c r="D115" s="11"/>
      <c r="E115" s="1"/>
      <c r="F115" s="1"/>
    </row>
    <row r="116" spans="1:10" x14ac:dyDescent="0.55000000000000004">
      <c r="A116" s="36"/>
      <c r="B116" s="1">
        <v>3</v>
      </c>
      <c r="C116" s="1">
        <v>1</v>
      </c>
      <c r="D116" s="1"/>
      <c r="E116" s="11"/>
      <c r="F116" s="18"/>
    </row>
    <row r="117" spans="1:10" x14ac:dyDescent="0.55000000000000004">
      <c r="A117" s="36"/>
      <c r="B117" s="19">
        <v>4</v>
      </c>
      <c r="C117" s="1"/>
      <c r="D117" s="1"/>
      <c r="E117" s="1"/>
      <c r="F117" s="1"/>
    </row>
    <row r="118" spans="1:10" x14ac:dyDescent="0.55000000000000004">
      <c r="B118" s="14"/>
    </row>
    <row r="119" spans="1:10" x14ac:dyDescent="0.55000000000000004">
      <c r="B119" s="37" t="s">
        <v>16</v>
      </c>
      <c r="C119" s="37"/>
      <c r="D119" s="37"/>
      <c r="E119" s="37"/>
      <c r="F119" s="33"/>
    </row>
    <row r="120" spans="1:10" x14ac:dyDescent="0.55000000000000004">
      <c r="C120" s="38" t="s">
        <v>11</v>
      </c>
      <c r="D120" s="38"/>
      <c r="E120" s="38"/>
      <c r="F120" s="38"/>
    </row>
    <row r="121" spans="1:10" x14ac:dyDescent="0.55000000000000004">
      <c r="C121" s="10">
        <v>1</v>
      </c>
      <c r="D121" s="10">
        <v>2</v>
      </c>
      <c r="E121" s="10">
        <v>3</v>
      </c>
      <c r="F121" s="20">
        <v>4</v>
      </c>
    </row>
    <row r="122" spans="1:10" x14ac:dyDescent="0.55000000000000004">
      <c r="A122" s="36" t="s">
        <v>12</v>
      </c>
      <c r="B122" s="1">
        <v>1</v>
      </c>
      <c r="C122" s="11" t="s">
        <v>14</v>
      </c>
      <c r="D122" s="1"/>
      <c r="E122" s="1"/>
      <c r="F122" s="1">
        <v>1</v>
      </c>
      <c r="G122" s="4">
        <f>SUMPRODUCT(C122:F125,$C$16:$F$19)</f>
        <v>1</v>
      </c>
      <c r="H122" s="17" t="s">
        <v>17</v>
      </c>
      <c r="I122" s="14">
        <v>1</v>
      </c>
      <c r="J122" t="b">
        <f>IF(G122&lt;=I122,TRUE,FALSE)</f>
        <v>1</v>
      </c>
    </row>
    <row r="123" spans="1:10" x14ac:dyDescent="0.55000000000000004">
      <c r="A123" s="36"/>
      <c r="B123" s="1">
        <v>2</v>
      </c>
      <c r="C123" s="1"/>
      <c r="D123" s="11"/>
      <c r="E123" s="1"/>
      <c r="F123" s="1"/>
    </row>
    <row r="124" spans="1:10" x14ac:dyDescent="0.55000000000000004">
      <c r="A124" s="36"/>
      <c r="B124" s="1">
        <v>3</v>
      </c>
      <c r="C124" s="1"/>
      <c r="D124" s="1"/>
      <c r="E124" s="11"/>
      <c r="F124" s="18"/>
    </row>
    <row r="125" spans="1:10" x14ac:dyDescent="0.55000000000000004">
      <c r="A125" s="36"/>
      <c r="B125" s="19">
        <v>4</v>
      </c>
      <c r="C125" s="1">
        <v>1</v>
      </c>
      <c r="D125" s="1"/>
      <c r="E125" s="1"/>
      <c r="F125" s="1"/>
    </row>
    <row r="126" spans="1:10" x14ac:dyDescent="0.55000000000000004">
      <c r="A126" s="12"/>
      <c r="B126" s="14"/>
      <c r="C126" s="4"/>
      <c r="D126" s="4"/>
      <c r="E126" s="4"/>
      <c r="F126" s="4"/>
    </row>
    <row r="127" spans="1:10" x14ac:dyDescent="0.55000000000000004">
      <c r="B127" s="37" t="s">
        <v>16</v>
      </c>
      <c r="C127" s="37"/>
      <c r="D127" s="37"/>
      <c r="E127" s="37"/>
      <c r="F127" s="33"/>
    </row>
    <row r="128" spans="1:10" x14ac:dyDescent="0.55000000000000004">
      <c r="C128" s="38" t="s">
        <v>11</v>
      </c>
      <c r="D128" s="38"/>
      <c r="E128" s="38"/>
      <c r="F128" s="38"/>
    </row>
    <row r="129" spans="1:10" x14ac:dyDescent="0.55000000000000004">
      <c r="C129" s="10">
        <v>1</v>
      </c>
      <c r="D129" s="10">
        <v>2</v>
      </c>
      <c r="E129" s="10">
        <v>3</v>
      </c>
      <c r="F129" s="20">
        <v>4</v>
      </c>
    </row>
    <row r="130" spans="1:10" x14ac:dyDescent="0.55000000000000004">
      <c r="A130" s="36" t="s">
        <v>12</v>
      </c>
      <c r="B130" s="1">
        <v>1</v>
      </c>
      <c r="C130" s="11" t="s">
        <v>14</v>
      </c>
      <c r="D130" s="1"/>
      <c r="E130" s="1"/>
      <c r="F130" s="1"/>
      <c r="G130" s="4">
        <f>SUMPRODUCT(C130:F133,$C$16:$F$19)</f>
        <v>1</v>
      </c>
      <c r="H130" s="17" t="s">
        <v>17</v>
      </c>
      <c r="I130" s="14">
        <v>1</v>
      </c>
      <c r="J130" t="b">
        <f>IF(G130&lt;=I130,TRUE,FALSE)</f>
        <v>1</v>
      </c>
    </row>
    <row r="131" spans="1:10" x14ac:dyDescent="0.55000000000000004">
      <c r="A131" s="36"/>
      <c r="B131" s="1">
        <v>2</v>
      </c>
      <c r="C131" s="1"/>
      <c r="D131" s="11"/>
      <c r="E131" s="1">
        <v>1</v>
      </c>
      <c r="F131" s="1"/>
    </row>
    <row r="132" spans="1:10" x14ac:dyDescent="0.55000000000000004">
      <c r="A132" s="36"/>
      <c r="B132" s="1">
        <v>3</v>
      </c>
      <c r="C132" s="1"/>
      <c r="D132" s="1">
        <v>1</v>
      </c>
      <c r="E132" s="11"/>
      <c r="F132" s="18"/>
    </row>
    <row r="133" spans="1:10" x14ac:dyDescent="0.55000000000000004">
      <c r="A133" s="36"/>
      <c r="B133" s="19">
        <v>4</v>
      </c>
      <c r="C133" s="1"/>
      <c r="D133" s="1"/>
      <c r="E133" s="1"/>
      <c r="F133" s="1"/>
    </row>
    <row r="134" spans="1:10" x14ac:dyDescent="0.55000000000000004">
      <c r="A134" s="12"/>
      <c r="B134" s="14"/>
      <c r="C134" s="4"/>
      <c r="D134" s="4"/>
      <c r="E134" s="4"/>
      <c r="F134" s="4"/>
    </row>
    <row r="135" spans="1:10" x14ac:dyDescent="0.55000000000000004">
      <c r="B135" s="37" t="s">
        <v>16</v>
      </c>
      <c r="C135" s="37"/>
      <c r="D135" s="37"/>
      <c r="E135" s="37"/>
      <c r="F135" s="33"/>
    </row>
    <row r="136" spans="1:10" x14ac:dyDescent="0.55000000000000004">
      <c r="C136" s="38" t="s">
        <v>11</v>
      </c>
      <c r="D136" s="38"/>
      <c r="E136" s="38"/>
      <c r="F136" s="38"/>
    </row>
    <row r="137" spans="1:10" x14ac:dyDescent="0.55000000000000004">
      <c r="C137" s="10">
        <v>1</v>
      </c>
      <c r="D137" s="10">
        <v>2</v>
      </c>
      <c r="E137" s="10">
        <v>3</v>
      </c>
      <c r="F137" s="20">
        <v>4</v>
      </c>
    </row>
    <row r="138" spans="1:10" x14ac:dyDescent="0.55000000000000004">
      <c r="A138" s="36" t="s">
        <v>12</v>
      </c>
      <c r="B138" s="1">
        <v>1</v>
      </c>
      <c r="C138" s="11" t="s">
        <v>14</v>
      </c>
      <c r="D138" s="1"/>
      <c r="E138" s="1"/>
      <c r="F138" s="1"/>
      <c r="G138" s="4">
        <f>SUMPRODUCT(C138:F141,$C$16:$F$19)</f>
        <v>0</v>
      </c>
      <c r="H138" s="17" t="s">
        <v>17</v>
      </c>
      <c r="I138" s="14">
        <v>1</v>
      </c>
      <c r="J138" t="b">
        <f>IF(G138&lt;=I138,TRUE,FALSE)</f>
        <v>1</v>
      </c>
    </row>
    <row r="139" spans="1:10" x14ac:dyDescent="0.55000000000000004">
      <c r="A139" s="36"/>
      <c r="B139" s="1">
        <v>2</v>
      </c>
      <c r="C139" s="1"/>
      <c r="D139" s="11"/>
      <c r="E139" s="1"/>
      <c r="F139" s="1">
        <v>1</v>
      </c>
    </row>
    <row r="140" spans="1:10" x14ac:dyDescent="0.55000000000000004">
      <c r="A140" s="36"/>
      <c r="B140" s="1">
        <v>3</v>
      </c>
      <c r="C140" s="1"/>
      <c r="D140" s="1"/>
      <c r="E140" s="11"/>
      <c r="F140" s="18"/>
    </row>
    <row r="141" spans="1:10" x14ac:dyDescent="0.55000000000000004">
      <c r="A141" s="36"/>
      <c r="B141" s="19">
        <v>4</v>
      </c>
      <c r="C141" s="1"/>
      <c r="D141" s="1">
        <v>1</v>
      </c>
      <c r="E141" s="1"/>
      <c r="F141" s="1"/>
    </row>
    <row r="142" spans="1:10" x14ac:dyDescent="0.55000000000000004">
      <c r="A142" s="12"/>
      <c r="B142" s="14"/>
      <c r="C142" s="4"/>
      <c r="D142" s="4"/>
      <c r="E142" s="4"/>
      <c r="F142" s="4"/>
    </row>
    <row r="143" spans="1:10" x14ac:dyDescent="0.55000000000000004">
      <c r="B143" s="37" t="s">
        <v>16</v>
      </c>
      <c r="C143" s="37"/>
      <c r="D143" s="37"/>
      <c r="E143" s="37"/>
      <c r="F143" s="33"/>
    </row>
    <row r="144" spans="1:10" x14ac:dyDescent="0.55000000000000004">
      <c r="C144" s="38" t="s">
        <v>11</v>
      </c>
      <c r="D144" s="38"/>
      <c r="E144" s="38"/>
      <c r="F144" s="38"/>
    </row>
    <row r="145" spans="1:10" x14ac:dyDescent="0.55000000000000004">
      <c r="C145" s="10">
        <v>1</v>
      </c>
      <c r="D145" s="10">
        <v>2</v>
      </c>
      <c r="E145" s="10">
        <v>3</v>
      </c>
      <c r="F145" s="20">
        <v>4</v>
      </c>
    </row>
    <row r="146" spans="1:10" x14ac:dyDescent="0.55000000000000004">
      <c r="A146" s="36" t="s">
        <v>12</v>
      </c>
      <c r="B146" s="1">
        <v>1</v>
      </c>
      <c r="C146" s="11" t="s">
        <v>14</v>
      </c>
      <c r="D146" s="1"/>
      <c r="E146" s="1"/>
      <c r="F146" s="1"/>
      <c r="G146" s="4">
        <f>SUMPRODUCT(C146:F149,$C$16:$F$19)</f>
        <v>1</v>
      </c>
      <c r="H146" s="17" t="s">
        <v>17</v>
      </c>
      <c r="I146" s="14">
        <v>1</v>
      </c>
      <c r="J146" t="b">
        <f>IF(G146&lt;=I146,TRUE,FALSE)</f>
        <v>1</v>
      </c>
    </row>
    <row r="147" spans="1:10" x14ac:dyDescent="0.55000000000000004">
      <c r="A147" s="36"/>
      <c r="B147" s="1">
        <v>2</v>
      </c>
      <c r="C147" s="1"/>
      <c r="D147" s="11"/>
      <c r="E147" s="1"/>
      <c r="F147" s="1"/>
    </row>
    <row r="148" spans="1:10" x14ac:dyDescent="0.55000000000000004">
      <c r="A148" s="36"/>
      <c r="B148" s="1">
        <v>3</v>
      </c>
      <c r="C148" s="1"/>
      <c r="D148" s="1"/>
      <c r="E148" s="11"/>
      <c r="F148" s="18">
        <v>1</v>
      </c>
    </row>
    <row r="149" spans="1:10" x14ac:dyDescent="0.55000000000000004">
      <c r="A149" s="36"/>
      <c r="B149" s="19">
        <v>4</v>
      </c>
      <c r="C149" s="1"/>
      <c r="D149" s="1"/>
      <c r="E149" s="1">
        <v>1</v>
      </c>
      <c r="F149" s="1"/>
    </row>
    <row r="150" spans="1:10" x14ac:dyDescent="0.55000000000000004">
      <c r="A150" s="12"/>
      <c r="B150" s="14"/>
      <c r="C150" s="4"/>
      <c r="D150" s="4"/>
      <c r="E150" s="4"/>
      <c r="F150" s="4"/>
    </row>
    <row r="151" spans="1:10" x14ac:dyDescent="0.55000000000000004">
      <c r="A151" s="12"/>
      <c r="B151" s="14"/>
      <c r="C151" s="4"/>
      <c r="D151" s="4"/>
      <c r="E151" s="4"/>
      <c r="F151" s="4"/>
    </row>
    <row r="152" spans="1:10" x14ac:dyDescent="0.55000000000000004">
      <c r="A152" s="12"/>
      <c r="B152" s="14"/>
      <c r="C152" s="4" t="s">
        <v>26</v>
      </c>
      <c r="D152" s="4"/>
      <c r="E152" s="4"/>
      <c r="F152" s="4"/>
    </row>
    <row r="153" spans="1:10" x14ac:dyDescent="0.55000000000000004">
      <c r="C153" s="1">
        <f>C20</f>
        <v>1</v>
      </c>
      <c r="D153" s="1">
        <f t="shared" ref="D153:F153" si="4">D20</f>
        <v>1</v>
      </c>
      <c r="E153" s="1">
        <f t="shared" si="4"/>
        <v>1</v>
      </c>
      <c r="F153" s="1">
        <f t="shared" si="4"/>
        <v>1</v>
      </c>
    </row>
    <row r="154" spans="1:10" x14ac:dyDescent="0.55000000000000004">
      <c r="C154" s="34" t="s">
        <v>15</v>
      </c>
      <c r="D154" s="34" t="s">
        <v>15</v>
      </c>
      <c r="E154" s="34" t="s">
        <v>15</v>
      </c>
      <c r="F154" s="34" t="s">
        <v>15</v>
      </c>
    </row>
    <row r="155" spans="1:10" x14ac:dyDescent="0.55000000000000004">
      <c r="C155" s="1">
        <v>1</v>
      </c>
      <c r="D155" s="1">
        <v>1</v>
      </c>
      <c r="E155" s="1">
        <v>1</v>
      </c>
      <c r="F155" s="1">
        <v>1</v>
      </c>
    </row>
    <row r="156" spans="1:10" x14ac:dyDescent="0.55000000000000004">
      <c r="C156" s="4"/>
      <c r="D156" s="4"/>
      <c r="E156" s="4"/>
      <c r="F156" s="4"/>
    </row>
    <row r="157" spans="1:10" x14ac:dyDescent="0.55000000000000004">
      <c r="C157" t="s">
        <v>27</v>
      </c>
    </row>
    <row r="158" spans="1:10" x14ac:dyDescent="0.55000000000000004">
      <c r="C158" s="1">
        <f>G16</f>
        <v>1</v>
      </c>
      <c r="D158" s="34" t="s">
        <v>15</v>
      </c>
      <c r="E158" s="1">
        <v>1</v>
      </c>
    </row>
    <row r="159" spans="1:10" x14ac:dyDescent="0.55000000000000004">
      <c r="C159" s="1">
        <f>G17</f>
        <v>1</v>
      </c>
      <c r="D159" s="34" t="s">
        <v>15</v>
      </c>
      <c r="E159" s="1">
        <v>1</v>
      </c>
    </row>
    <row r="160" spans="1:10" x14ac:dyDescent="0.55000000000000004">
      <c r="C160" s="1">
        <f>G18</f>
        <v>1</v>
      </c>
      <c r="D160" s="34" t="s">
        <v>15</v>
      </c>
      <c r="E160" s="1">
        <v>1</v>
      </c>
    </row>
    <row r="161" spans="3:5" x14ac:dyDescent="0.55000000000000004">
      <c r="C161" s="1">
        <f>G19</f>
        <v>1</v>
      </c>
      <c r="D161" s="34" t="s">
        <v>15</v>
      </c>
      <c r="E161" s="1">
        <v>1</v>
      </c>
    </row>
  </sheetData>
  <mergeCells count="55">
    <mergeCell ref="A146:A149"/>
    <mergeCell ref="A130:A133"/>
    <mergeCell ref="B135:E135"/>
    <mergeCell ref="C136:F136"/>
    <mergeCell ref="A138:A141"/>
    <mergeCell ref="B143:E143"/>
    <mergeCell ref="C144:F144"/>
    <mergeCell ref="A114:A117"/>
    <mergeCell ref="B119:E119"/>
    <mergeCell ref="C120:F120"/>
    <mergeCell ref="A122:A125"/>
    <mergeCell ref="B127:E127"/>
    <mergeCell ref="C128:F128"/>
    <mergeCell ref="A98:A101"/>
    <mergeCell ref="B103:E103"/>
    <mergeCell ref="C104:F104"/>
    <mergeCell ref="A106:A109"/>
    <mergeCell ref="B111:E111"/>
    <mergeCell ref="C112:F112"/>
    <mergeCell ref="A82:A85"/>
    <mergeCell ref="B87:E87"/>
    <mergeCell ref="C88:F88"/>
    <mergeCell ref="A90:A93"/>
    <mergeCell ref="B95:E95"/>
    <mergeCell ref="C96:F96"/>
    <mergeCell ref="A66:A69"/>
    <mergeCell ref="B71:E71"/>
    <mergeCell ref="C72:F72"/>
    <mergeCell ref="A74:A77"/>
    <mergeCell ref="B79:E79"/>
    <mergeCell ref="C80:F80"/>
    <mergeCell ref="A50:A53"/>
    <mergeCell ref="B55:E55"/>
    <mergeCell ref="C56:F56"/>
    <mergeCell ref="A58:A61"/>
    <mergeCell ref="B63:E63"/>
    <mergeCell ref="C64:F64"/>
    <mergeCell ref="A34:A37"/>
    <mergeCell ref="B39:E39"/>
    <mergeCell ref="C40:F40"/>
    <mergeCell ref="A42:A45"/>
    <mergeCell ref="B47:E47"/>
    <mergeCell ref="C48:F48"/>
    <mergeCell ref="A16:A19"/>
    <mergeCell ref="A23:A24"/>
    <mergeCell ref="C23:F23"/>
    <mergeCell ref="A25:A28"/>
    <mergeCell ref="B31:E31"/>
    <mergeCell ref="C32:F32"/>
    <mergeCell ref="D1:O3"/>
    <mergeCell ref="A6:B6"/>
    <mergeCell ref="C6:F6"/>
    <mergeCell ref="A8:A11"/>
    <mergeCell ref="A14:A15"/>
    <mergeCell ref="C14:F1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61"/>
  <sheetViews>
    <sheetView zoomScale="120" zoomScaleNormal="120" workbookViewId="0">
      <selection activeCell="E16" sqref="E16"/>
    </sheetView>
  </sheetViews>
  <sheetFormatPr defaultRowHeight="15.3" x14ac:dyDescent="0.55000000000000004"/>
  <cols>
    <col min="1" max="1" width="17.59765625" customWidth="1"/>
    <col min="2" max="2" width="8.75" customWidth="1"/>
    <col min="5" max="6" width="10.25" customWidth="1"/>
    <col min="7" max="7" width="5" customWidth="1"/>
    <col min="8" max="8" width="6.84765625" customWidth="1"/>
    <col min="9" max="9" width="4.5" customWidth="1"/>
    <col min="12" max="12" width="11.59765625" customWidth="1"/>
  </cols>
  <sheetData>
    <row r="1" spans="1:15" ht="31.5" customHeight="1" x14ac:dyDescent="0.55000000000000004">
      <c r="A1" s="32" t="s">
        <v>0</v>
      </c>
      <c r="B1" s="1">
        <f>SUMPRODUCT(C8:F11,C16:F19)</f>
        <v>35.5</v>
      </c>
      <c r="D1" s="41" t="s">
        <v>18</v>
      </c>
      <c r="E1" s="41"/>
      <c r="F1" s="41"/>
      <c r="G1" s="41"/>
      <c r="H1" s="41"/>
      <c r="I1" s="41"/>
      <c r="J1" s="41"/>
      <c r="K1" s="41"/>
      <c r="L1" s="41"/>
      <c r="M1" s="41"/>
      <c r="N1" s="41"/>
      <c r="O1" s="41"/>
    </row>
    <row r="2" spans="1:15" ht="23.25" customHeight="1" x14ac:dyDescent="0.55000000000000004">
      <c r="A2" s="32" t="s">
        <v>3</v>
      </c>
      <c r="B2" s="1">
        <f>CEILING(B1,1)</f>
        <v>36</v>
      </c>
      <c r="D2" s="41"/>
      <c r="E2" s="41"/>
      <c r="F2" s="41"/>
      <c r="G2" s="41"/>
      <c r="H2" s="41"/>
      <c r="I2" s="41"/>
      <c r="J2" s="41"/>
      <c r="K2" s="41"/>
      <c r="L2" s="41"/>
      <c r="M2" s="41"/>
      <c r="N2" s="41"/>
      <c r="O2" s="41"/>
    </row>
    <row r="3" spans="1:15" ht="23.25" customHeight="1" x14ac:dyDescent="0.55000000000000004">
      <c r="A3" s="32" t="s">
        <v>23</v>
      </c>
      <c r="B3" s="1" t="b">
        <f>IF(AND(D25,E25,E26,C26,C27,D27,F25,F26,F27,C28,D28,E28),TRUE,FALSE)</f>
        <v>1</v>
      </c>
      <c r="D3" s="41"/>
      <c r="E3" s="41"/>
      <c r="F3" s="41"/>
      <c r="G3" s="41"/>
      <c r="H3" s="41"/>
      <c r="I3" s="41"/>
      <c r="J3" s="41"/>
      <c r="K3" s="41"/>
      <c r="L3" s="41"/>
      <c r="M3" s="41"/>
      <c r="N3" s="41"/>
      <c r="O3" s="41"/>
    </row>
    <row r="4" spans="1:15" ht="23.25" customHeight="1" x14ac:dyDescent="0.55000000000000004">
      <c r="A4" s="32" t="s">
        <v>22</v>
      </c>
      <c r="B4" s="1" t="b">
        <f>AND(H16:H19,C21:F21,J34,J42,J50,J58,J66,J74,J82,J90,J98,J106,J114,J122,J130,J138,J146)</f>
        <v>0</v>
      </c>
      <c r="D4" s="27"/>
      <c r="E4" s="27"/>
      <c r="F4" s="27"/>
      <c r="G4" s="27"/>
      <c r="H4" s="27"/>
      <c r="I4" s="27"/>
      <c r="J4" s="27"/>
      <c r="K4" s="27"/>
      <c r="L4" s="27"/>
      <c r="M4" s="27"/>
      <c r="N4" s="27"/>
      <c r="O4" s="27"/>
    </row>
    <row r="5" spans="1:15" x14ac:dyDescent="0.55000000000000004">
      <c r="A5" s="3"/>
      <c r="B5" s="4"/>
    </row>
    <row r="6" spans="1:15" ht="31.5" customHeight="1" x14ac:dyDescent="0.55000000000000004">
      <c r="A6" s="42" t="s">
        <v>21</v>
      </c>
      <c r="B6" s="42"/>
      <c r="C6" s="38" t="s">
        <v>11</v>
      </c>
      <c r="D6" s="38"/>
      <c r="E6" s="38"/>
      <c r="F6" s="38"/>
    </row>
    <row r="7" spans="1:15" x14ac:dyDescent="0.55000000000000004">
      <c r="A7" s="4"/>
      <c r="B7" s="35"/>
      <c r="C7" s="6">
        <v>1</v>
      </c>
      <c r="D7" s="6">
        <v>2</v>
      </c>
      <c r="E7" s="6">
        <v>3</v>
      </c>
      <c r="F7" s="6">
        <v>4</v>
      </c>
    </row>
    <row r="8" spans="1:15" x14ac:dyDescent="0.55000000000000004">
      <c r="A8" s="36" t="s">
        <v>12</v>
      </c>
      <c r="B8" s="5">
        <v>1</v>
      </c>
      <c r="C8" s="11"/>
      <c r="D8" s="6">
        <v>9.5</v>
      </c>
      <c r="E8" s="6">
        <v>12</v>
      </c>
      <c r="F8" s="6">
        <v>10</v>
      </c>
    </row>
    <row r="9" spans="1:15" x14ac:dyDescent="0.55000000000000004">
      <c r="A9" s="36"/>
      <c r="B9" s="5">
        <v>2</v>
      </c>
      <c r="C9" s="6">
        <v>6</v>
      </c>
      <c r="D9" s="11"/>
      <c r="E9" s="6">
        <v>10</v>
      </c>
      <c r="F9" s="6">
        <v>14</v>
      </c>
    </row>
    <row r="10" spans="1:15" x14ac:dyDescent="0.55000000000000004">
      <c r="A10" s="36"/>
      <c r="B10" s="5">
        <v>3</v>
      </c>
      <c r="C10" s="6">
        <v>10</v>
      </c>
      <c r="D10" s="6">
        <v>11</v>
      </c>
      <c r="E10" s="11"/>
      <c r="F10" s="6">
        <v>12</v>
      </c>
    </row>
    <row r="11" spans="1:15" x14ac:dyDescent="0.55000000000000004">
      <c r="A11" s="36"/>
      <c r="B11" s="5">
        <v>4</v>
      </c>
      <c r="C11" s="6">
        <v>7</v>
      </c>
      <c r="D11" s="6">
        <v>8</v>
      </c>
      <c r="E11" s="6">
        <v>15</v>
      </c>
      <c r="F11" s="11"/>
    </row>
    <row r="12" spans="1:15" x14ac:dyDescent="0.55000000000000004">
      <c r="A12" s="3"/>
      <c r="B12" s="4"/>
    </row>
    <row r="13" spans="1:15" x14ac:dyDescent="0.55000000000000004">
      <c r="A13" s="7" t="s">
        <v>4</v>
      </c>
    </row>
    <row r="14" spans="1:15" x14ac:dyDescent="0.55000000000000004">
      <c r="A14" s="39" t="s">
        <v>1</v>
      </c>
      <c r="C14" s="38" t="s">
        <v>11</v>
      </c>
      <c r="D14" s="38"/>
      <c r="E14" s="38"/>
      <c r="F14" s="38"/>
    </row>
    <row r="15" spans="1:15" x14ac:dyDescent="0.55000000000000004">
      <c r="A15" s="40"/>
      <c r="C15" s="24">
        <v>1</v>
      </c>
      <c r="D15" s="24">
        <v>2</v>
      </c>
      <c r="E15" s="24">
        <v>3</v>
      </c>
      <c r="F15" s="25">
        <v>4</v>
      </c>
    </row>
    <row r="16" spans="1:15" x14ac:dyDescent="0.55000000000000004">
      <c r="A16" s="36" t="s">
        <v>12</v>
      </c>
      <c r="B16" s="22">
        <v>1</v>
      </c>
      <c r="C16" s="11">
        <v>0</v>
      </c>
      <c r="D16" s="43">
        <v>1</v>
      </c>
      <c r="E16" s="43">
        <v>1</v>
      </c>
      <c r="F16" s="1">
        <v>0</v>
      </c>
      <c r="G16" s="28">
        <f>SUM(C16:F16)</f>
        <v>2</v>
      </c>
      <c r="H16" s="1" t="b">
        <f>IF(G16=1,TRUE,FALSE)</f>
        <v>0</v>
      </c>
    </row>
    <row r="17" spans="1:9" x14ac:dyDescent="0.55000000000000004">
      <c r="A17" s="36"/>
      <c r="B17" s="22">
        <v>2</v>
      </c>
      <c r="C17" s="1">
        <v>0</v>
      </c>
      <c r="D17" s="11">
        <v>0</v>
      </c>
      <c r="E17" s="1">
        <v>0</v>
      </c>
      <c r="F17" s="1">
        <v>1</v>
      </c>
      <c r="G17" s="28">
        <f t="shared" ref="G17:G19" si="0">SUM(C17:F17)</f>
        <v>1</v>
      </c>
      <c r="H17" s="1" t="b">
        <f t="shared" ref="H17:H19" si="1">IF(G17=1,TRUE,FALSE)</f>
        <v>1</v>
      </c>
    </row>
    <row r="18" spans="1:9" x14ac:dyDescent="0.55000000000000004">
      <c r="A18" s="36"/>
      <c r="B18" s="22">
        <v>3</v>
      </c>
      <c r="C18" s="1">
        <v>0</v>
      </c>
      <c r="D18" s="1">
        <v>0</v>
      </c>
      <c r="E18" s="11">
        <v>0</v>
      </c>
      <c r="F18" s="18">
        <v>0</v>
      </c>
      <c r="G18" s="28">
        <f t="shared" si="0"/>
        <v>0</v>
      </c>
      <c r="H18" s="1" t="b">
        <f t="shared" si="1"/>
        <v>0</v>
      </c>
    </row>
    <row r="19" spans="1:9" x14ac:dyDescent="0.55000000000000004">
      <c r="A19" s="36"/>
      <c r="B19" s="23">
        <v>4</v>
      </c>
      <c r="C19" s="1">
        <v>0</v>
      </c>
      <c r="D19" s="1">
        <v>0</v>
      </c>
      <c r="E19" s="18">
        <v>0</v>
      </c>
      <c r="F19" s="11">
        <v>0</v>
      </c>
      <c r="G19" s="28">
        <f t="shared" si="0"/>
        <v>0</v>
      </c>
      <c r="H19" s="1" t="b">
        <f t="shared" si="1"/>
        <v>0</v>
      </c>
    </row>
    <row r="20" spans="1:9" x14ac:dyDescent="0.55000000000000004">
      <c r="A20" s="12"/>
      <c r="B20" s="4"/>
      <c r="C20" s="29">
        <f>SUM(C16:C19)</f>
        <v>0</v>
      </c>
      <c r="D20" s="29">
        <f t="shared" ref="D20:F20" si="2">SUM(D16:D19)</f>
        <v>1</v>
      </c>
      <c r="E20" s="29">
        <f t="shared" si="2"/>
        <v>1</v>
      </c>
      <c r="F20" s="29">
        <f t="shared" si="2"/>
        <v>1</v>
      </c>
    </row>
    <row r="21" spans="1:9" x14ac:dyDescent="0.55000000000000004">
      <c r="A21" s="12"/>
      <c r="B21" s="4"/>
      <c r="C21" s="1" t="b">
        <f>IF(C20=1,TRUE,FALSE)</f>
        <v>0</v>
      </c>
      <c r="D21" s="1" t="b">
        <f t="shared" ref="D21:F21" si="3">IF(D20=1,TRUE,FALSE)</f>
        <v>1</v>
      </c>
      <c r="E21" s="1" t="b">
        <f t="shared" si="3"/>
        <v>1</v>
      </c>
      <c r="F21" s="1" t="b">
        <f t="shared" si="3"/>
        <v>1</v>
      </c>
    </row>
    <row r="22" spans="1:9" x14ac:dyDescent="0.55000000000000004">
      <c r="A22" s="12"/>
      <c r="B22" s="4"/>
      <c r="C22" s="4"/>
      <c r="D22" s="4"/>
      <c r="E22" s="15"/>
      <c r="F22" s="15"/>
    </row>
    <row r="23" spans="1:9" x14ac:dyDescent="0.55000000000000004">
      <c r="A23" s="39" t="s">
        <v>13</v>
      </c>
      <c r="C23" s="38" t="s">
        <v>11</v>
      </c>
      <c r="D23" s="38"/>
      <c r="E23" s="38"/>
      <c r="F23" s="38"/>
    </row>
    <row r="24" spans="1:9" x14ac:dyDescent="0.55000000000000004">
      <c r="A24" s="40"/>
      <c r="C24" s="24">
        <v>1</v>
      </c>
      <c r="D24" s="24">
        <v>2</v>
      </c>
      <c r="E24" s="24">
        <v>3</v>
      </c>
      <c r="F24" s="25">
        <v>4</v>
      </c>
    </row>
    <row r="25" spans="1:9" x14ac:dyDescent="0.55000000000000004">
      <c r="A25" s="36" t="s">
        <v>12</v>
      </c>
      <c r="B25" s="1">
        <v>1</v>
      </c>
      <c r="C25" s="11"/>
      <c r="D25" s="1" t="b">
        <f>IF(D16=FLOOR(D16,1),TRUE,FALSE)</f>
        <v>1</v>
      </c>
      <c r="E25" s="1" t="b">
        <f>IF(E16=FLOOR(E16,1),TRUE,FALSE)</f>
        <v>1</v>
      </c>
      <c r="F25" s="1" t="b">
        <f>IF(F16=FLOOR(F16,1),TRUE,FALSE)</f>
        <v>1</v>
      </c>
    </row>
    <row r="26" spans="1:9" x14ac:dyDescent="0.55000000000000004">
      <c r="A26" s="36"/>
      <c r="B26" s="1">
        <v>2</v>
      </c>
      <c r="C26" s="1" t="b">
        <f>IF(C17=FLOOR(C17,1),TRUE,FALSE)</f>
        <v>1</v>
      </c>
      <c r="D26" s="11"/>
      <c r="E26" s="1" t="b">
        <f>IF(E17=FLOOR(E17,1),TRUE,FALSE)</f>
        <v>1</v>
      </c>
      <c r="F26" s="1" t="b">
        <f>IF(F17=FLOOR(F17,1),TRUE,FALSE)</f>
        <v>1</v>
      </c>
    </row>
    <row r="27" spans="1:9" x14ac:dyDescent="0.55000000000000004">
      <c r="A27" s="36"/>
      <c r="B27" s="1">
        <v>3</v>
      </c>
      <c r="C27" s="1" t="b">
        <f>IF(C18=FLOOR(C18,1),TRUE,FALSE)</f>
        <v>1</v>
      </c>
      <c r="D27" s="1" t="b">
        <f>IF(D18=FLOOR(D18,1),TRUE,FALSE)</f>
        <v>1</v>
      </c>
      <c r="E27" s="11"/>
      <c r="F27" s="1" t="b">
        <f>IF(F18=FLOOR(F18,1),TRUE,FALSE)</f>
        <v>1</v>
      </c>
    </row>
    <row r="28" spans="1:9" ht="15.6" customHeight="1" x14ac:dyDescent="0.55000000000000004">
      <c r="A28" s="36"/>
      <c r="B28" s="19">
        <v>4</v>
      </c>
      <c r="C28" s="1" t="b">
        <f>IF(C19=FLOOR(C19,1),TRUE,FALSE)</f>
        <v>1</v>
      </c>
      <c r="D28" s="1" t="b">
        <f>IF(D19=FLOOR(D19,1),TRUE,FALSE)</f>
        <v>1</v>
      </c>
      <c r="E28" s="1" t="b">
        <f>IF(E19=FLOOR(E19,1),TRUE,FALSE)</f>
        <v>1</v>
      </c>
      <c r="F28" s="11"/>
    </row>
    <row r="29" spans="1:9" x14ac:dyDescent="0.55000000000000004">
      <c r="A29" s="3"/>
      <c r="B29" s="4"/>
      <c r="C29" s="4"/>
      <c r="D29" s="4"/>
    </row>
    <row r="31" spans="1:9" x14ac:dyDescent="0.55000000000000004">
      <c r="A31" t="s">
        <v>2</v>
      </c>
      <c r="B31" s="37" t="s">
        <v>20</v>
      </c>
      <c r="C31" s="37"/>
      <c r="D31" s="37"/>
      <c r="E31" s="37"/>
      <c r="F31" s="33"/>
      <c r="G31" s="13"/>
      <c r="H31" s="13"/>
      <c r="I31" s="4"/>
    </row>
    <row r="32" spans="1:9" x14ac:dyDescent="0.55000000000000004">
      <c r="C32" s="38" t="s">
        <v>11</v>
      </c>
      <c r="D32" s="38"/>
      <c r="E32" s="38"/>
      <c r="F32" s="38"/>
      <c r="G32" s="4"/>
      <c r="H32" s="4"/>
      <c r="I32" s="4"/>
    </row>
    <row r="33" spans="1:10" x14ac:dyDescent="0.55000000000000004">
      <c r="C33" s="10">
        <v>1</v>
      </c>
      <c r="D33" s="10">
        <v>2</v>
      </c>
      <c r="E33" s="10">
        <v>3</v>
      </c>
      <c r="F33" s="20">
        <v>4</v>
      </c>
      <c r="G33" s="4"/>
      <c r="H33" s="4"/>
      <c r="I33" s="4"/>
    </row>
    <row r="34" spans="1:10" x14ac:dyDescent="0.55000000000000004">
      <c r="A34" s="36" t="s">
        <v>12</v>
      </c>
      <c r="B34" s="1">
        <v>1</v>
      </c>
      <c r="C34" s="11" t="s">
        <v>14</v>
      </c>
      <c r="D34" s="1">
        <v>1</v>
      </c>
      <c r="E34" s="1">
        <v>1</v>
      </c>
      <c r="F34" s="1">
        <v>1</v>
      </c>
      <c r="G34" s="4">
        <f>SUMPRODUCT(C34:F37,$C$16:$F$19)</f>
        <v>3</v>
      </c>
      <c r="H34" s="4" t="s">
        <v>15</v>
      </c>
      <c r="I34" s="14">
        <v>4</v>
      </c>
      <c r="J34" t="b">
        <f>IF(G34=I34,TRUE,FALSE)</f>
        <v>0</v>
      </c>
    </row>
    <row r="35" spans="1:10" x14ac:dyDescent="0.55000000000000004">
      <c r="A35" s="36"/>
      <c r="B35" s="1">
        <v>2</v>
      </c>
      <c r="C35" s="1">
        <v>1</v>
      </c>
      <c r="D35" s="11"/>
      <c r="E35" s="1">
        <v>1</v>
      </c>
      <c r="F35" s="1">
        <v>1</v>
      </c>
      <c r="G35" s="4"/>
      <c r="H35" s="4"/>
      <c r="I35" s="4"/>
    </row>
    <row r="36" spans="1:10" x14ac:dyDescent="0.55000000000000004">
      <c r="A36" s="36"/>
      <c r="B36" s="1">
        <v>3</v>
      </c>
      <c r="C36" s="1">
        <v>1</v>
      </c>
      <c r="D36" s="1">
        <v>1</v>
      </c>
      <c r="E36" s="11"/>
      <c r="F36" s="1">
        <v>1</v>
      </c>
      <c r="G36" s="14"/>
      <c r="H36" s="14"/>
      <c r="I36" s="4"/>
    </row>
    <row r="37" spans="1:10" x14ac:dyDescent="0.55000000000000004">
      <c r="A37" s="36"/>
      <c r="B37" s="19">
        <v>4</v>
      </c>
      <c r="C37" s="1">
        <v>1</v>
      </c>
      <c r="D37" s="1">
        <v>1</v>
      </c>
      <c r="E37" s="11"/>
      <c r="F37" s="1">
        <v>1</v>
      </c>
      <c r="G37" s="14"/>
      <c r="H37" s="14"/>
      <c r="I37" s="4"/>
    </row>
    <row r="38" spans="1:10" x14ac:dyDescent="0.55000000000000004">
      <c r="B38" s="4"/>
      <c r="C38" s="4"/>
      <c r="D38" s="4"/>
      <c r="E38" s="4"/>
      <c r="F38" s="4"/>
      <c r="G38" s="14"/>
      <c r="H38" s="14"/>
      <c r="I38" s="4"/>
    </row>
    <row r="39" spans="1:10" x14ac:dyDescent="0.55000000000000004">
      <c r="B39" s="37" t="s">
        <v>19</v>
      </c>
      <c r="C39" s="37"/>
      <c r="D39" s="37"/>
      <c r="E39" s="37"/>
      <c r="F39" s="33"/>
      <c r="G39" s="14"/>
      <c r="H39" s="14"/>
      <c r="I39" s="4"/>
    </row>
    <row r="40" spans="1:10" x14ac:dyDescent="0.55000000000000004">
      <c r="C40" s="38" t="s">
        <v>11</v>
      </c>
      <c r="D40" s="38"/>
      <c r="E40" s="38"/>
      <c r="F40" s="38"/>
      <c r="G40" s="14"/>
      <c r="H40" s="14"/>
      <c r="I40" s="4"/>
    </row>
    <row r="41" spans="1:10" x14ac:dyDescent="0.55000000000000004">
      <c r="C41" s="10">
        <v>1</v>
      </c>
      <c r="D41" s="10">
        <v>2</v>
      </c>
      <c r="E41" s="10">
        <v>3</v>
      </c>
      <c r="F41" s="20">
        <v>4</v>
      </c>
    </row>
    <row r="42" spans="1:10" x14ac:dyDescent="0.55000000000000004">
      <c r="A42" s="36" t="s">
        <v>12</v>
      </c>
      <c r="B42" s="1">
        <v>1</v>
      </c>
      <c r="C42" s="11"/>
      <c r="D42" s="1">
        <v>1</v>
      </c>
      <c r="E42" s="1"/>
      <c r="F42" s="1"/>
      <c r="G42" s="4">
        <f>SUMPRODUCT(C42:F45,$C$16:$F$19)</f>
        <v>1</v>
      </c>
      <c r="H42" s="17" t="s">
        <v>17</v>
      </c>
      <c r="I42" s="14">
        <v>2</v>
      </c>
      <c r="J42" t="b">
        <f>IF(G42&lt;=I42,TRUE,FALSE)</f>
        <v>1</v>
      </c>
    </row>
    <row r="43" spans="1:10" x14ac:dyDescent="0.55000000000000004">
      <c r="A43" s="36"/>
      <c r="B43" s="1">
        <v>2</v>
      </c>
      <c r="C43" s="1"/>
      <c r="D43" s="11"/>
      <c r="E43" s="1">
        <v>1</v>
      </c>
      <c r="F43" s="1"/>
    </row>
    <row r="44" spans="1:10" x14ac:dyDescent="0.55000000000000004">
      <c r="A44" s="36"/>
      <c r="B44" s="1">
        <v>3</v>
      </c>
      <c r="C44" s="1">
        <v>1</v>
      </c>
      <c r="D44" s="1"/>
      <c r="E44" s="11"/>
      <c r="F44" s="18"/>
    </row>
    <row r="45" spans="1:10" x14ac:dyDescent="0.55000000000000004">
      <c r="A45" s="36"/>
      <c r="B45" s="19">
        <v>4</v>
      </c>
      <c r="C45" s="1"/>
      <c r="D45" s="1"/>
      <c r="E45" s="18"/>
      <c r="F45" s="11"/>
    </row>
    <row r="47" spans="1:10" x14ac:dyDescent="0.55000000000000004">
      <c r="B47" s="37" t="s">
        <v>19</v>
      </c>
      <c r="C47" s="37"/>
      <c r="D47" s="37"/>
      <c r="E47" s="37"/>
      <c r="F47" s="33"/>
    </row>
    <row r="48" spans="1:10" x14ac:dyDescent="0.55000000000000004">
      <c r="C48" s="38" t="s">
        <v>11</v>
      </c>
      <c r="D48" s="38"/>
      <c r="E48" s="38"/>
      <c r="F48" s="38"/>
    </row>
    <row r="49" spans="1:10" x14ac:dyDescent="0.55000000000000004">
      <c r="C49" s="10">
        <v>1</v>
      </c>
      <c r="D49" s="10">
        <v>2</v>
      </c>
      <c r="E49" s="10">
        <v>3</v>
      </c>
      <c r="F49" s="20">
        <v>4</v>
      </c>
    </row>
    <row r="50" spans="1:10" x14ac:dyDescent="0.55000000000000004">
      <c r="A50" s="36" t="s">
        <v>12</v>
      </c>
      <c r="B50" s="1">
        <v>1</v>
      </c>
      <c r="C50" s="11" t="s">
        <v>14</v>
      </c>
      <c r="D50" s="1">
        <v>1</v>
      </c>
      <c r="E50" s="1"/>
      <c r="F50" s="1"/>
      <c r="G50" s="4">
        <f>SUMPRODUCT(C50:F53,$C$16:$F$19)</f>
        <v>2</v>
      </c>
      <c r="H50" s="17" t="s">
        <v>17</v>
      </c>
      <c r="I50" s="14">
        <v>2</v>
      </c>
      <c r="J50" t="b">
        <f>IF(G50&lt;=I50,TRUE,FALSE)</f>
        <v>1</v>
      </c>
    </row>
    <row r="51" spans="1:10" x14ac:dyDescent="0.55000000000000004">
      <c r="A51" s="36"/>
      <c r="B51" s="1">
        <v>2</v>
      </c>
      <c r="C51" s="1"/>
      <c r="D51" s="11"/>
      <c r="E51" s="1"/>
      <c r="F51" s="1">
        <v>1</v>
      </c>
    </row>
    <row r="52" spans="1:10" x14ac:dyDescent="0.55000000000000004">
      <c r="A52" s="36"/>
      <c r="B52" s="1">
        <v>3</v>
      </c>
      <c r="C52" s="1"/>
      <c r="D52" s="1"/>
      <c r="E52" s="11"/>
      <c r="F52" s="18"/>
    </row>
    <row r="53" spans="1:10" x14ac:dyDescent="0.55000000000000004">
      <c r="A53" s="36"/>
      <c r="B53" s="19">
        <v>4</v>
      </c>
      <c r="C53" s="1">
        <v>1</v>
      </c>
      <c r="D53" s="1"/>
      <c r="E53" s="18"/>
      <c r="F53" s="11"/>
    </row>
    <row r="55" spans="1:10" x14ac:dyDescent="0.55000000000000004">
      <c r="B55" s="37" t="s">
        <v>19</v>
      </c>
      <c r="C55" s="37"/>
      <c r="D55" s="37"/>
      <c r="E55" s="37"/>
      <c r="F55" s="33"/>
    </row>
    <row r="56" spans="1:10" x14ac:dyDescent="0.55000000000000004">
      <c r="C56" s="38" t="s">
        <v>11</v>
      </c>
      <c r="D56" s="38"/>
      <c r="E56" s="38"/>
      <c r="F56" s="38"/>
    </row>
    <row r="57" spans="1:10" x14ac:dyDescent="0.55000000000000004">
      <c r="C57" s="10">
        <v>1</v>
      </c>
      <c r="D57" s="10">
        <v>2</v>
      </c>
      <c r="E57" s="10">
        <v>3</v>
      </c>
      <c r="F57" s="20">
        <v>4</v>
      </c>
    </row>
    <row r="58" spans="1:10" x14ac:dyDescent="0.55000000000000004">
      <c r="A58" s="36" t="s">
        <v>12</v>
      </c>
      <c r="B58" s="1">
        <v>1</v>
      </c>
      <c r="C58" s="11" t="s">
        <v>14</v>
      </c>
      <c r="D58" s="1"/>
      <c r="E58" s="1">
        <v>1</v>
      </c>
      <c r="F58" s="1"/>
      <c r="G58" s="4">
        <f>SUMPRODUCT(C58:F61,$C$16:$F$19)</f>
        <v>1</v>
      </c>
      <c r="H58" s="17" t="s">
        <v>17</v>
      </c>
      <c r="I58" s="14">
        <v>2</v>
      </c>
      <c r="J58" t="b">
        <f>IF(G58&lt;=I58,TRUE,FALSE)</f>
        <v>1</v>
      </c>
    </row>
    <row r="59" spans="1:10" x14ac:dyDescent="0.55000000000000004">
      <c r="A59" s="36"/>
      <c r="B59" s="1">
        <v>2</v>
      </c>
      <c r="C59" s="1"/>
      <c r="D59" s="11"/>
      <c r="E59" s="1"/>
      <c r="F59" s="1"/>
    </row>
    <row r="60" spans="1:10" x14ac:dyDescent="0.55000000000000004">
      <c r="A60" s="36"/>
      <c r="B60" s="1">
        <v>3</v>
      </c>
      <c r="C60" s="1"/>
      <c r="D60" s="1"/>
      <c r="E60" s="11"/>
      <c r="F60" s="18">
        <v>1</v>
      </c>
    </row>
    <row r="61" spans="1:10" x14ac:dyDescent="0.55000000000000004">
      <c r="A61" s="36"/>
      <c r="B61" s="19">
        <v>4</v>
      </c>
      <c r="C61" s="1">
        <v>1</v>
      </c>
      <c r="D61" s="1"/>
      <c r="E61" s="18"/>
      <c r="F61" s="18"/>
    </row>
    <row r="62" spans="1:10" x14ac:dyDescent="0.55000000000000004">
      <c r="B62" s="4"/>
      <c r="C62" s="4"/>
      <c r="D62" s="4"/>
      <c r="E62" s="15"/>
      <c r="F62" s="15"/>
    </row>
    <row r="63" spans="1:10" x14ac:dyDescent="0.55000000000000004">
      <c r="B63" s="37" t="s">
        <v>19</v>
      </c>
      <c r="C63" s="37"/>
      <c r="D63" s="37"/>
      <c r="E63" s="37"/>
      <c r="F63" s="33"/>
    </row>
    <row r="64" spans="1:10" x14ac:dyDescent="0.55000000000000004">
      <c r="C64" s="38" t="s">
        <v>11</v>
      </c>
      <c r="D64" s="38"/>
      <c r="E64" s="38"/>
      <c r="F64" s="38"/>
    </row>
    <row r="65" spans="1:10" x14ac:dyDescent="0.55000000000000004">
      <c r="C65" s="10">
        <v>1</v>
      </c>
      <c r="D65" s="10">
        <v>2</v>
      </c>
      <c r="E65" s="10">
        <v>3</v>
      </c>
      <c r="F65" s="20">
        <v>4</v>
      </c>
    </row>
    <row r="66" spans="1:10" x14ac:dyDescent="0.55000000000000004">
      <c r="A66" s="36" t="s">
        <v>12</v>
      </c>
      <c r="B66" s="1">
        <v>1</v>
      </c>
      <c r="C66" s="11" t="s">
        <v>14</v>
      </c>
      <c r="D66" s="1"/>
      <c r="E66" s="1"/>
      <c r="F66" s="1"/>
      <c r="G66" s="4">
        <f>SUMPRODUCT(C66:F69,$C$16:$F$19)</f>
        <v>0</v>
      </c>
      <c r="H66" s="17" t="s">
        <v>17</v>
      </c>
      <c r="I66" s="14">
        <v>2</v>
      </c>
      <c r="J66" t="b">
        <f>IF(G66&lt;=I66,TRUE,FALSE)</f>
        <v>1</v>
      </c>
    </row>
    <row r="67" spans="1:10" x14ac:dyDescent="0.55000000000000004">
      <c r="A67" s="36"/>
      <c r="B67" s="1">
        <v>2</v>
      </c>
      <c r="C67" s="1"/>
      <c r="D67" s="11"/>
      <c r="E67" s="1">
        <v>1</v>
      </c>
      <c r="F67" s="1"/>
    </row>
    <row r="68" spans="1:10" x14ac:dyDescent="0.55000000000000004">
      <c r="A68" s="36"/>
      <c r="B68" s="1">
        <v>3</v>
      </c>
      <c r="C68" s="1"/>
      <c r="D68" s="1"/>
      <c r="E68" s="11"/>
      <c r="F68" s="18">
        <v>1</v>
      </c>
    </row>
    <row r="69" spans="1:10" x14ac:dyDescent="0.55000000000000004">
      <c r="A69" s="36"/>
      <c r="B69" s="19">
        <v>4</v>
      </c>
      <c r="C69" s="1"/>
      <c r="D69" s="1">
        <v>1</v>
      </c>
      <c r="E69" s="18"/>
      <c r="F69" s="18"/>
    </row>
    <row r="70" spans="1:10" x14ac:dyDescent="0.55000000000000004">
      <c r="B70" s="4"/>
      <c r="C70" s="4"/>
      <c r="D70" s="4"/>
      <c r="E70" s="4"/>
      <c r="F70" s="4"/>
      <c r="G70" s="14"/>
      <c r="H70" s="14"/>
      <c r="I70" s="4"/>
    </row>
    <row r="71" spans="1:10" x14ac:dyDescent="0.55000000000000004">
      <c r="B71" s="37" t="s">
        <v>19</v>
      </c>
      <c r="C71" s="37"/>
      <c r="D71" s="37"/>
      <c r="E71" s="37"/>
      <c r="F71" s="33"/>
      <c r="G71" s="14"/>
      <c r="H71" s="14"/>
      <c r="I71" s="4"/>
    </row>
    <row r="72" spans="1:10" x14ac:dyDescent="0.55000000000000004">
      <c r="C72" s="38" t="s">
        <v>11</v>
      </c>
      <c r="D72" s="38"/>
      <c r="E72" s="38"/>
      <c r="F72" s="38"/>
      <c r="G72" s="14"/>
      <c r="H72" s="14"/>
      <c r="I72" s="4"/>
    </row>
    <row r="73" spans="1:10" x14ac:dyDescent="0.55000000000000004">
      <c r="C73" s="10">
        <v>1</v>
      </c>
      <c r="D73" s="10">
        <v>2</v>
      </c>
      <c r="E73" s="10">
        <v>3</v>
      </c>
      <c r="F73" s="20">
        <v>4</v>
      </c>
    </row>
    <row r="74" spans="1:10" x14ac:dyDescent="0.55000000000000004">
      <c r="A74" s="36" t="s">
        <v>12</v>
      </c>
      <c r="B74" s="1">
        <v>1</v>
      </c>
      <c r="C74" s="11"/>
      <c r="D74" s="1"/>
      <c r="E74" s="1">
        <v>1</v>
      </c>
      <c r="F74" s="1"/>
      <c r="G74" s="4">
        <f>SUMPRODUCT(C74:F77,$C$16:$F$19)</f>
        <v>1</v>
      </c>
      <c r="H74" s="17" t="s">
        <v>17</v>
      </c>
      <c r="I74" s="14">
        <v>2</v>
      </c>
      <c r="J74" t="b">
        <f>IF(G74&lt;=I74,TRUE,FALSE)</f>
        <v>1</v>
      </c>
    </row>
    <row r="75" spans="1:10" x14ac:dyDescent="0.55000000000000004">
      <c r="A75" s="36"/>
      <c r="B75" s="1">
        <v>2</v>
      </c>
      <c r="C75" s="1">
        <v>1</v>
      </c>
      <c r="D75" s="11"/>
      <c r="E75" s="1"/>
      <c r="F75" s="1"/>
    </row>
    <row r="76" spans="1:10" x14ac:dyDescent="0.55000000000000004">
      <c r="A76" s="36"/>
      <c r="B76" s="1">
        <v>3</v>
      </c>
      <c r="C76" s="1"/>
      <c r="D76" s="1">
        <v>1</v>
      </c>
      <c r="E76" s="11"/>
      <c r="F76" s="18"/>
    </row>
    <row r="77" spans="1:10" x14ac:dyDescent="0.55000000000000004">
      <c r="A77" s="36"/>
      <c r="B77" s="19">
        <v>4</v>
      </c>
      <c r="C77" s="1"/>
      <c r="D77" s="1"/>
      <c r="E77" s="18"/>
      <c r="F77" s="11"/>
    </row>
    <row r="79" spans="1:10" x14ac:dyDescent="0.55000000000000004">
      <c r="B79" s="37" t="s">
        <v>19</v>
      </c>
      <c r="C79" s="37"/>
      <c r="D79" s="37"/>
      <c r="E79" s="37"/>
      <c r="F79" s="33"/>
    </row>
    <row r="80" spans="1:10" x14ac:dyDescent="0.55000000000000004">
      <c r="C80" s="38" t="s">
        <v>11</v>
      </c>
      <c r="D80" s="38"/>
      <c r="E80" s="38"/>
      <c r="F80" s="38"/>
    </row>
    <row r="81" spans="1:10" x14ac:dyDescent="0.55000000000000004">
      <c r="C81" s="10">
        <v>1</v>
      </c>
      <c r="D81" s="10">
        <v>2</v>
      </c>
      <c r="E81" s="10">
        <v>3</v>
      </c>
      <c r="F81" s="20">
        <v>4</v>
      </c>
    </row>
    <row r="82" spans="1:10" x14ac:dyDescent="0.55000000000000004">
      <c r="A82" s="36" t="s">
        <v>12</v>
      </c>
      <c r="B82" s="1">
        <v>1</v>
      </c>
      <c r="C82" s="11" t="s">
        <v>14</v>
      </c>
      <c r="D82" s="1"/>
      <c r="E82" s="1"/>
      <c r="F82" s="1">
        <v>1</v>
      </c>
      <c r="G82" s="4">
        <f>SUMPRODUCT(C82:F85,$C$16:$F$19)</f>
        <v>0</v>
      </c>
      <c r="H82" s="17" t="s">
        <v>17</v>
      </c>
      <c r="I82" s="14">
        <v>2</v>
      </c>
      <c r="J82" t="b">
        <f>IF(G82&lt;=I82,TRUE,FALSE)</f>
        <v>1</v>
      </c>
    </row>
    <row r="83" spans="1:10" x14ac:dyDescent="0.55000000000000004">
      <c r="A83" s="36"/>
      <c r="B83" s="1">
        <v>2</v>
      </c>
      <c r="C83" s="1">
        <v>1</v>
      </c>
      <c r="D83" s="11"/>
      <c r="E83" s="1"/>
      <c r="F83" s="1"/>
    </row>
    <row r="84" spans="1:10" x14ac:dyDescent="0.55000000000000004">
      <c r="A84" s="36"/>
      <c r="B84" s="1">
        <v>3</v>
      </c>
      <c r="C84" s="1"/>
      <c r="D84" s="1"/>
      <c r="E84" s="11"/>
      <c r="F84" s="18"/>
    </row>
    <row r="85" spans="1:10" x14ac:dyDescent="0.55000000000000004">
      <c r="A85" s="36"/>
      <c r="B85" s="19">
        <v>4</v>
      </c>
      <c r="C85" s="1"/>
      <c r="D85" s="1">
        <v>1</v>
      </c>
      <c r="E85" s="18"/>
      <c r="F85" s="11"/>
    </row>
    <row r="87" spans="1:10" x14ac:dyDescent="0.55000000000000004">
      <c r="B87" s="37" t="s">
        <v>19</v>
      </c>
      <c r="C87" s="37"/>
      <c r="D87" s="37"/>
      <c r="E87" s="37"/>
      <c r="F87" s="33"/>
    </row>
    <row r="88" spans="1:10" x14ac:dyDescent="0.55000000000000004">
      <c r="C88" s="38" t="s">
        <v>11</v>
      </c>
      <c r="D88" s="38"/>
      <c r="E88" s="38"/>
      <c r="F88" s="38"/>
    </row>
    <row r="89" spans="1:10" x14ac:dyDescent="0.55000000000000004">
      <c r="C89" s="10">
        <v>1</v>
      </c>
      <c r="D89" s="10">
        <v>2</v>
      </c>
      <c r="E89" s="10">
        <v>3</v>
      </c>
      <c r="F89" s="20">
        <v>4</v>
      </c>
    </row>
    <row r="90" spans="1:10" x14ac:dyDescent="0.55000000000000004">
      <c r="A90" s="36" t="s">
        <v>12</v>
      </c>
      <c r="B90" s="1">
        <v>1</v>
      </c>
      <c r="C90" s="11" t="s">
        <v>14</v>
      </c>
      <c r="D90" s="1"/>
      <c r="E90" s="1">
        <v>1</v>
      </c>
      <c r="F90" s="1"/>
      <c r="G90" s="4">
        <f>SUMPRODUCT(C90:F93,$C$16:$F$19)</f>
        <v>1</v>
      </c>
      <c r="H90" s="17" t="s">
        <v>17</v>
      </c>
      <c r="I90" s="14">
        <v>2</v>
      </c>
      <c r="J90" t="b">
        <f>IF(G90&lt;=I90,TRUE,FALSE)</f>
        <v>1</v>
      </c>
    </row>
    <row r="91" spans="1:10" x14ac:dyDescent="0.55000000000000004">
      <c r="A91" s="36"/>
      <c r="B91" s="1">
        <v>2</v>
      </c>
      <c r="C91" s="1"/>
      <c r="D91" s="11"/>
      <c r="E91" s="1"/>
      <c r="F91" s="1"/>
    </row>
    <row r="92" spans="1:10" x14ac:dyDescent="0.55000000000000004">
      <c r="A92" s="36"/>
      <c r="B92" s="1">
        <v>3</v>
      </c>
      <c r="C92" s="1"/>
      <c r="D92" s="1"/>
      <c r="E92" s="11"/>
      <c r="F92" s="18">
        <v>1</v>
      </c>
    </row>
    <row r="93" spans="1:10" x14ac:dyDescent="0.55000000000000004">
      <c r="A93" s="36"/>
      <c r="B93" s="19">
        <v>4</v>
      </c>
      <c r="C93" s="1">
        <v>1</v>
      </c>
      <c r="D93" s="1"/>
      <c r="E93" s="18"/>
      <c r="F93" s="18"/>
    </row>
    <row r="94" spans="1:10" x14ac:dyDescent="0.55000000000000004">
      <c r="B94" s="4"/>
      <c r="C94" s="4"/>
      <c r="D94" s="4"/>
      <c r="E94" s="15"/>
      <c r="F94" s="15"/>
    </row>
    <row r="95" spans="1:10" x14ac:dyDescent="0.55000000000000004">
      <c r="B95" s="37" t="s">
        <v>19</v>
      </c>
      <c r="C95" s="37"/>
      <c r="D95" s="37"/>
      <c r="E95" s="37"/>
      <c r="F95" s="33"/>
    </row>
    <row r="96" spans="1:10" x14ac:dyDescent="0.55000000000000004">
      <c r="C96" s="38" t="s">
        <v>11</v>
      </c>
      <c r="D96" s="38"/>
      <c r="E96" s="38"/>
      <c r="F96" s="38"/>
    </row>
    <row r="97" spans="1:10" x14ac:dyDescent="0.55000000000000004">
      <c r="C97" s="10">
        <v>1</v>
      </c>
      <c r="D97" s="10">
        <v>2</v>
      </c>
      <c r="E97" s="10">
        <v>3</v>
      </c>
      <c r="F97" s="20">
        <v>4</v>
      </c>
    </row>
    <row r="98" spans="1:10" x14ac:dyDescent="0.55000000000000004">
      <c r="A98" s="36" t="s">
        <v>12</v>
      </c>
      <c r="B98" s="1">
        <v>1</v>
      </c>
      <c r="C98" s="11" t="s">
        <v>14</v>
      </c>
      <c r="D98" s="1"/>
      <c r="E98" s="1"/>
      <c r="F98" s="1"/>
      <c r="G98" s="4">
        <f>SUMPRODUCT(C98:F101,$C$16:$F$19)</f>
        <v>1</v>
      </c>
      <c r="H98" s="17" t="s">
        <v>17</v>
      </c>
      <c r="I98" s="14">
        <v>2</v>
      </c>
      <c r="J98" t="b">
        <f>IF(G98&lt;=I98,TRUE,FALSE)</f>
        <v>1</v>
      </c>
    </row>
    <row r="99" spans="1:10" x14ac:dyDescent="0.55000000000000004">
      <c r="A99" s="36"/>
      <c r="B99" s="1">
        <v>2</v>
      </c>
      <c r="C99" s="1"/>
      <c r="D99" s="11"/>
      <c r="E99" s="1"/>
      <c r="F99" s="1">
        <v>1</v>
      </c>
    </row>
    <row r="100" spans="1:10" x14ac:dyDescent="0.55000000000000004">
      <c r="A100" s="36"/>
      <c r="B100" s="1">
        <v>3</v>
      </c>
      <c r="C100" s="1"/>
      <c r="D100" s="1">
        <v>1</v>
      </c>
      <c r="E100" s="11"/>
      <c r="F100" s="18"/>
    </row>
    <row r="101" spans="1:10" x14ac:dyDescent="0.55000000000000004">
      <c r="A101" s="36"/>
      <c r="B101" s="19">
        <v>4</v>
      </c>
      <c r="C101" s="1"/>
      <c r="D101" s="1"/>
      <c r="E101" s="18">
        <v>1</v>
      </c>
      <c r="F101" s="18"/>
    </row>
    <row r="102" spans="1:10" x14ac:dyDescent="0.55000000000000004">
      <c r="B102" s="4"/>
      <c r="C102" s="4"/>
      <c r="D102" s="4"/>
      <c r="E102" s="15"/>
      <c r="F102" s="15"/>
    </row>
    <row r="103" spans="1:10" x14ac:dyDescent="0.55000000000000004">
      <c r="B103" s="37" t="s">
        <v>16</v>
      </c>
      <c r="C103" s="37"/>
      <c r="D103" s="37"/>
      <c r="E103" s="37"/>
      <c r="F103" s="33"/>
    </row>
    <row r="104" spans="1:10" x14ac:dyDescent="0.55000000000000004">
      <c r="C104" s="38" t="s">
        <v>11</v>
      </c>
      <c r="D104" s="38"/>
      <c r="E104" s="38"/>
      <c r="F104" s="38"/>
    </row>
    <row r="105" spans="1:10" x14ac:dyDescent="0.55000000000000004">
      <c r="C105" s="10">
        <v>1</v>
      </c>
      <c r="D105" s="10">
        <v>2</v>
      </c>
      <c r="E105" s="10">
        <v>3</v>
      </c>
      <c r="F105" s="20">
        <v>4</v>
      </c>
    </row>
    <row r="106" spans="1:10" x14ac:dyDescent="0.55000000000000004">
      <c r="A106" s="36" t="s">
        <v>12</v>
      </c>
      <c r="B106" s="1">
        <v>1</v>
      </c>
      <c r="C106" s="11" t="s">
        <v>14</v>
      </c>
      <c r="D106" s="1">
        <v>1</v>
      </c>
      <c r="E106" s="1"/>
      <c r="F106" s="1"/>
      <c r="G106" s="4">
        <f>SUMPRODUCT(C106:F109,$C$16:$F$19)</f>
        <v>1</v>
      </c>
      <c r="H106" s="17" t="s">
        <v>17</v>
      </c>
      <c r="I106" s="14">
        <v>1</v>
      </c>
      <c r="J106" t="b">
        <f>IF(G106&lt;=I106,TRUE,FALSE)</f>
        <v>1</v>
      </c>
    </row>
    <row r="107" spans="1:10" x14ac:dyDescent="0.55000000000000004">
      <c r="A107" s="36"/>
      <c r="B107" s="1">
        <v>2</v>
      </c>
      <c r="C107" s="1">
        <v>1</v>
      </c>
      <c r="D107" s="11"/>
      <c r="E107" s="1"/>
      <c r="F107" s="1"/>
    </row>
    <row r="108" spans="1:10" x14ac:dyDescent="0.55000000000000004">
      <c r="A108" s="36"/>
      <c r="B108" s="1">
        <v>3</v>
      </c>
      <c r="C108" s="1"/>
      <c r="D108" s="1"/>
      <c r="E108" s="11"/>
      <c r="F108" s="18"/>
    </row>
    <row r="109" spans="1:10" x14ac:dyDescent="0.55000000000000004">
      <c r="A109" s="36"/>
      <c r="B109" s="19">
        <v>4</v>
      </c>
      <c r="C109" s="1"/>
      <c r="D109" s="1"/>
      <c r="E109" s="1"/>
      <c r="F109" s="1"/>
    </row>
    <row r="110" spans="1:10" x14ac:dyDescent="0.55000000000000004">
      <c r="B110" s="14"/>
    </row>
    <row r="111" spans="1:10" x14ac:dyDescent="0.55000000000000004">
      <c r="B111" s="37" t="s">
        <v>16</v>
      </c>
      <c r="C111" s="37"/>
      <c r="D111" s="37"/>
      <c r="E111" s="37"/>
      <c r="F111" s="33"/>
    </row>
    <row r="112" spans="1:10" x14ac:dyDescent="0.55000000000000004">
      <c r="C112" s="38" t="s">
        <v>11</v>
      </c>
      <c r="D112" s="38"/>
      <c r="E112" s="38"/>
      <c r="F112" s="38"/>
    </row>
    <row r="113" spans="1:10" x14ac:dyDescent="0.55000000000000004">
      <c r="C113" s="10">
        <v>1</v>
      </c>
      <c r="D113" s="10">
        <v>2</v>
      </c>
      <c r="E113" s="10">
        <v>3</v>
      </c>
      <c r="F113" s="20">
        <v>4</v>
      </c>
    </row>
    <row r="114" spans="1:10" x14ac:dyDescent="0.55000000000000004">
      <c r="A114" s="36" t="s">
        <v>12</v>
      </c>
      <c r="B114" s="1">
        <v>1</v>
      </c>
      <c r="C114" s="11" t="s">
        <v>14</v>
      </c>
      <c r="D114" s="1"/>
      <c r="E114" s="1">
        <v>1</v>
      </c>
      <c r="F114" s="1"/>
      <c r="G114" s="4">
        <f>SUMPRODUCT(C114:F117,$C$16:$F$19)</f>
        <v>1</v>
      </c>
      <c r="H114" s="17" t="s">
        <v>17</v>
      </c>
      <c r="I114" s="14">
        <v>1</v>
      </c>
      <c r="J114" t="b">
        <f>IF(G114&lt;=I114,TRUE,FALSE)</f>
        <v>1</v>
      </c>
    </row>
    <row r="115" spans="1:10" x14ac:dyDescent="0.55000000000000004">
      <c r="A115" s="36"/>
      <c r="B115" s="1">
        <v>2</v>
      </c>
      <c r="C115" s="1"/>
      <c r="D115" s="11"/>
      <c r="E115" s="1"/>
      <c r="F115" s="1"/>
    </row>
    <row r="116" spans="1:10" x14ac:dyDescent="0.55000000000000004">
      <c r="A116" s="36"/>
      <c r="B116" s="1">
        <v>3</v>
      </c>
      <c r="C116" s="1">
        <v>1</v>
      </c>
      <c r="D116" s="1"/>
      <c r="E116" s="11"/>
      <c r="F116" s="18"/>
    </row>
    <row r="117" spans="1:10" x14ac:dyDescent="0.55000000000000004">
      <c r="A117" s="36"/>
      <c r="B117" s="19">
        <v>4</v>
      </c>
      <c r="C117" s="1"/>
      <c r="D117" s="1"/>
      <c r="E117" s="1"/>
      <c r="F117" s="1"/>
    </row>
    <row r="118" spans="1:10" x14ac:dyDescent="0.55000000000000004">
      <c r="B118" s="14"/>
    </row>
    <row r="119" spans="1:10" x14ac:dyDescent="0.55000000000000004">
      <c r="B119" s="37" t="s">
        <v>16</v>
      </c>
      <c r="C119" s="37"/>
      <c r="D119" s="37"/>
      <c r="E119" s="37"/>
      <c r="F119" s="33"/>
    </row>
    <row r="120" spans="1:10" x14ac:dyDescent="0.55000000000000004">
      <c r="C120" s="38" t="s">
        <v>11</v>
      </c>
      <c r="D120" s="38"/>
      <c r="E120" s="38"/>
      <c r="F120" s="38"/>
    </row>
    <row r="121" spans="1:10" x14ac:dyDescent="0.55000000000000004">
      <c r="C121" s="10">
        <v>1</v>
      </c>
      <c r="D121" s="10">
        <v>2</v>
      </c>
      <c r="E121" s="10">
        <v>3</v>
      </c>
      <c r="F121" s="20">
        <v>4</v>
      </c>
    </row>
    <row r="122" spans="1:10" x14ac:dyDescent="0.55000000000000004">
      <c r="A122" s="36" t="s">
        <v>12</v>
      </c>
      <c r="B122" s="1">
        <v>1</v>
      </c>
      <c r="C122" s="11" t="s">
        <v>14</v>
      </c>
      <c r="D122" s="1"/>
      <c r="E122" s="1"/>
      <c r="F122" s="1">
        <v>1</v>
      </c>
      <c r="G122" s="4">
        <f>SUMPRODUCT(C122:F125,$C$16:$F$19)</f>
        <v>0</v>
      </c>
      <c r="H122" s="17" t="s">
        <v>17</v>
      </c>
      <c r="I122" s="14">
        <v>1</v>
      </c>
      <c r="J122" t="b">
        <f>IF(G122&lt;=I122,TRUE,FALSE)</f>
        <v>1</v>
      </c>
    </row>
    <row r="123" spans="1:10" x14ac:dyDescent="0.55000000000000004">
      <c r="A123" s="36"/>
      <c r="B123" s="1">
        <v>2</v>
      </c>
      <c r="C123" s="1"/>
      <c r="D123" s="11"/>
      <c r="E123" s="1"/>
      <c r="F123" s="1"/>
    </row>
    <row r="124" spans="1:10" x14ac:dyDescent="0.55000000000000004">
      <c r="A124" s="36"/>
      <c r="B124" s="1">
        <v>3</v>
      </c>
      <c r="C124" s="1"/>
      <c r="D124" s="1"/>
      <c r="E124" s="11"/>
      <c r="F124" s="18"/>
    </row>
    <row r="125" spans="1:10" x14ac:dyDescent="0.55000000000000004">
      <c r="A125" s="36"/>
      <c r="B125" s="19">
        <v>4</v>
      </c>
      <c r="C125" s="1">
        <v>1</v>
      </c>
      <c r="D125" s="1"/>
      <c r="E125" s="1"/>
      <c r="F125" s="1"/>
    </row>
    <row r="126" spans="1:10" x14ac:dyDescent="0.55000000000000004">
      <c r="A126" s="12"/>
      <c r="B126" s="14"/>
      <c r="C126" s="4"/>
      <c r="D126" s="4"/>
      <c r="E126" s="4"/>
      <c r="F126" s="4"/>
    </row>
    <row r="127" spans="1:10" x14ac:dyDescent="0.55000000000000004">
      <c r="B127" s="37" t="s">
        <v>16</v>
      </c>
      <c r="C127" s="37"/>
      <c r="D127" s="37"/>
      <c r="E127" s="37"/>
      <c r="F127" s="33"/>
    </row>
    <row r="128" spans="1:10" x14ac:dyDescent="0.55000000000000004">
      <c r="C128" s="38" t="s">
        <v>11</v>
      </c>
      <c r="D128" s="38"/>
      <c r="E128" s="38"/>
      <c r="F128" s="38"/>
    </row>
    <row r="129" spans="1:10" x14ac:dyDescent="0.55000000000000004">
      <c r="C129" s="10">
        <v>1</v>
      </c>
      <c r="D129" s="10">
        <v>2</v>
      </c>
      <c r="E129" s="10">
        <v>3</v>
      </c>
      <c r="F129" s="20">
        <v>4</v>
      </c>
    </row>
    <row r="130" spans="1:10" x14ac:dyDescent="0.55000000000000004">
      <c r="A130" s="36" t="s">
        <v>12</v>
      </c>
      <c r="B130" s="1">
        <v>1</v>
      </c>
      <c r="C130" s="11" t="s">
        <v>14</v>
      </c>
      <c r="D130" s="1"/>
      <c r="E130" s="1"/>
      <c r="F130" s="1"/>
      <c r="G130" s="4">
        <f>SUMPRODUCT(C130:F133,$C$16:$F$19)</f>
        <v>0</v>
      </c>
      <c r="H130" s="17" t="s">
        <v>17</v>
      </c>
      <c r="I130" s="14">
        <v>1</v>
      </c>
      <c r="J130" t="b">
        <f>IF(G130&lt;=I130,TRUE,FALSE)</f>
        <v>1</v>
      </c>
    </row>
    <row r="131" spans="1:10" x14ac:dyDescent="0.55000000000000004">
      <c r="A131" s="36"/>
      <c r="B131" s="1">
        <v>2</v>
      </c>
      <c r="C131" s="1"/>
      <c r="D131" s="11"/>
      <c r="E131" s="1">
        <v>1</v>
      </c>
      <c r="F131" s="1"/>
    </row>
    <row r="132" spans="1:10" x14ac:dyDescent="0.55000000000000004">
      <c r="A132" s="36"/>
      <c r="B132" s="1">
        <v>3</v>
      </c>
      <c r="C132" s="1"/>
      <c r="D132" s="1">
        <v>1</v>
      </c>
      <c r="E132" s="11"/>
      <c r="F132" s="18"/>
    </row>
    <row r="133" spans="1:10" x14ac:dyDescent="0.55000000000000004">
      <c r="A133" s="36"/>
      <c r="B133" s="19">
        <v>4</v>
      </c>
      <c r="C133" s="1"/>
      <c r="D133" s="1"/>
      <c r="E133" s="1"/>
      <c r="F133" s="1"/>
    </row>
    <row r="134" spans="1:10" x14ac:dyDescent="0.55000000000000004">
      <c r="A134" s="12"/>
      <c r="B134" s="14"/>
      <c r="C134" s="4"/>
      <c r="D134" s="4"/>
      <c r="E134" s="4"/>
      <c r="F134" s="4"/>
    </row>
    <row r="135" spans="1:10" x14ac:dyDescent="0.55000000000000004">
      <c r="B135" s="37" t="s">
        <v>16</v>
      </c>
      <c r="C135" s="37"/>
      <c r="D135" s="37"/>
      <c r="E135" s="37"/>
      <c r="F135" s="33"/>
    </row>
    <row r="136" spans="1:10" x14ac:dyDescent="0.55000000000000004">
      <c r="C136" s="38" t="s">
        <v>11</v>
      </c>
      <c r="D136" s="38"/>
      <c r="E136" s="38"/>
      <c r="F136" s="38"/>
    </row>
    <row r="137" spans="1:10" x14ac:dyDescent="0.55000000000000004">
      <c r="C137" s="10">
        <v>1</v>
      </c>
      <c r="D137" s="10">
        <v>2</v>
      </c>
      <c r="E137" s="10">
        <v>3</v>
      </c>
      <c r="F137" s="20">
        <v>4</v>
      </c>
    </row>
    <row r="138" spans="1:10" x14ac:dyDescent="0.55000000000000004">
      <c r="A138" s="36" t="s">
        <v>12</v>
      </c>
      <c r="B138" s="1">
        <v>1</v>
      </c>
      <c r="C138" s="11" t="s">
        <v>14</v>
      </c>
      <c r="D138" s="1"/>
      <c r="E138" s="1"/>
      <c r="F138" s="1"/>
      <c r="G138" s="4">
        <f>SUMPRODUCT(C138:F141,$C$16:$F$19)</f>
        <v>1</v>
      </c>
      <c r="H138" s="17" t="s">
        <v>17</v>
      </c>
      <c r="I138" s="14">
        <v>1</v>
      </c>
      <c r="J138" t="b">
        <f>IF(G138&lt;=I138,TRUE,FALSE)</f>
        <v>1</v>
      </c>
    </row>
    <row r="139" spans="1:10" x14ac:dyDescent="0.55000000000000004">
      <c r="A139" s="36"/>
      <c r="B139" s="1">
        <v>2</v>
      </c>
      <c r="C139" s="1"/>
      <c r="D139" s="11"/>
      <c r="E139" s="1"/>
      <c r="F139" s="1">
        <v>1</v>
      </c>
    </row>
    <row r="140" spans="1:10" x14ac:dyDescent="0.55000000000000004">
      <c r="A140" s="36"/>
      <c r="B140" s="1">
        <v>3</v>
      </c>
      <c r="C140" s="1"/>
      <c r="D140" s="1"/>
      <c r="E140" s="11"/>
      <c r="F140" s="18"/>
    </row>
    <row r="141" spans="1:10" x14ac:dyDescent="0.55000000000000004">
      <c r="A141" s="36"/>
      <c r="B141" s="19">
        <v>4</v>
      </c>
      <c r="C141" s="1"/>
      <c r="D141" s="1">
        <v>1</v>
      </c>
      <c r="E141" s="1"/>
      <c r="F141" s="1"/>
    </row>
    <row r="142" spans="1:10" x14ac:dyDescent="0.55000000000000004">
      <c r="A142" s="12"/>
      <c r="B142" s="14"/>
      <c r="C142" s="4"/>
      <c r="D142" s="4"/>
      <c r="E142" s="4"/>
      <c r="F142" s="4"/>
    </row>
    <row r="143" spans="1:10" x14ac:dyDescent="0.55000000000000004">
      <c r="B143" s="37" t="s">
        <v>16</v>
      </c>
      <c r="C143" s="37"/>
      <c r="D143" s="37"/>
      <c r="E143" s="37"/>
      <c r="F143" s="33"/>
    </row>
    <row r="144" spans="1:10" x14ac:dyDescent="0.55000000000000004">
      <c r="C144" s="38" t="s">
        <v>11</v>
      </c>
      <c r="D144" s="38"/>
      <c r="E144" s="38"/>
      <c r="F144" s="38"/>
    </row>
    <row r="145" spans="1:10" x14ac:dyDescent="0.55000000000000004">
      <c r="C145" s="10">
        <v>1</v>
      </c>
      <c r="D145" s="10">
        <v>2</v>
      </c>
      <c r="E145" s="10">
        <v>3</v>
      </c>
      <c r="F145" s="20">
        <v>4</v>
      </c>
    </row>
    <row r="146" spans="1:10" x14ac:dyDescent="0.55000000000000004">
      <c r="A146" s="36" t="s">
        <v>12</v>
      </c>
      <c r="B146" s="1">
        <v>1</v>
      </c>
      <c r="C146" s="11" t="s">
        <v>14</v>
      </c>
      <c r="D146" s="1"/>
      <c r="E146" s="1"/>
      <c r="F146" s="1"/>
      <c r="G146" s="4">
        <f>SUMPRODUCT(C146:F149,$C$16:$F$19)</f>
        <v>0</v>
      </c>
      <c r="H146" s="17" t="s">
        <v>17</v>
      </c>
      <c r="I146" s="14">
        <v>1</v>
      </c>
      <c r="J146" t="b">
        <f>IF(G146&lt;=I146,TRUE,FALSE)</f>
        <v>1</v>
      </c>
    </row>
    <row r="147" spans="1:10" x14ac:dyDescent="0.55000000000000004">
      <c r="A147" s="36"/>
      <c r="B147" s="1">
        <v>2</v>
      </c>
      <c r="C147" s="1"/>
      <c r="D147" s="11"/>
      <c r="E147" s="1"/>
      <c r="F147" s="1"/>
    </row>
    <row r="148" spans="1:10" x14ac:dyDescent="0.55000000000000004">
      <c r="A148" s="36"/>
      <c r="B148" s="1">
        <v>3</v>
      </c>
      <c r="C148" s="1"/>
      <c r="D148" s="1"/>
      <c r="E148" s="11"/>
      <c r="F148" s="18">
        <v>1</v>
      </c>
    </row>
    <row r="149" spans="1:10" x14ac:dyDescent="0.55000000000000004">
      <c r="A149" s="36"/>
      <c r="B149" s="19">
        <v>4</v>
      </c>
      <c r="C149" s="1"/>
      <c r="D149" s="1"/>
      <c r="E149" s="1">
        <v>1</v>
      </c>
      <c r="F149" s="1"/>
    </row>
    <row r="150" spans="1:10" x14ac:dyDescent="0.55000000000000004">
      <c r="A150" s="12"/>
      <c r="B150" s="14"/>
      <c r="C150" s="4"/>
      <c r="D150" s="4"/>
      <c r="E150" s="4"/>
      <c r="F150" s="4"/>
    </row>
    <row r="151" spans="1:10" x14ac:dyDescent="0.55000000000000004">
      <c r="A151" s="12"/>
      <c r="B151" s="14"/>
      <c r="C151" s="4"/>
      <c r="D151" s="4"/>
      <c r="E151" s="4"/>
      <c r="F151" s="4"/>
    </row>
    <row r="152" spans="1:10" x14ac:dyDescent="0.55000000000000004">
      <c r="A152" s="12"/>
      <c r="B152" s="14"/>
      <c r="C152" s="4" t="s">
        <v>26</v>
      </c>
      <c r="D152" s="4"/>
      <c r="E152" s="4"/>
      <c r="F152" s="4"/>
    </row>
    <row r="153" spans="1:10" x14ac:dyDescent="0.55000000000000004">
      <c r="C153" s="1">
        <f>C20</f>
        <v>0</v>
      </c>
      <c r="D153" s="1">
        <f t="shared" ref="D153:F153" si="4">D20</f>
        <v>1</v>
      </c>
      <c r="E153" s="1">
        <f t="shared" si="4"/>
        <v>1</v>
      </c>
      <c r="F153" s="1">
        <f t="shared" si="4"/>
        <v>1</v>
      </c>
    </row>
    <row r="154" spans="1:10" x14ac:dyDescent="0.55000000000000004">
      <c r="C154" s="34" t="s">
        <v>15</v>
      </c>
      <c r="D154" s="34" t="s">
        <v>15</v>
      </c>
      <c r="E154" s="34" t="s">
        <v>15</v>
      </c>
      <c r="F154" s="34" t="s">
        <v>15</v>
      </c>
    </row>
    <row r="155" spans="1:10" x14ac:dyDescent="0.55000000000000004">
      <c r="C155" s="1">
        <v>1</v>
      </c>
      <c r="D155" s="1">
        <v>1</v>
      </c>
      <c r="E155" s="1">
        <v>1</v>
      </c>
      <c r="F155" s="1">
        <v>1</v>
      </c>
    </row>
    <row r="156" spans="1:10" x14ac:dyDescent="0.55000000000000004">
      <c r="C156" s="4"/>
      <c r="D156" s="4"/>
      <c r="E156" s="4"/>
      <c r="F156" s="4"/>
    </row>
    <row r="157" spans="1:10" x14ac:dyDescent="0.55000000000000004">
      <c r="C157" t="s">
        <v>27</v>
      </c>
    </row>
    <row r="158" spans="1:10" x14ac:dyDescent="0.55000000000000004">
      <c r="C158" s="1">
        <f>G16</f>
        <v>2</v>
      </c>
      <c r="D158" s="34" t="s">
        <v>15</v>
      </c>
      <c r="E158" s="1">
        <v>1</v>
      </c>
    </row>
    <row r="159" spans="1:10" x14ac:dyDescent="0.55000000000000004">
      <c r="C159" s="1">
        <f>G17</f>
        <v>1</v>
      </c>
      <c r="D159" s="34" t="s">
        <v>15</v>
      </c>
      <c r="E159" s="1">
        <v>1</v>
      </c>
    </row>
    <row r="160" spans="1:10" x14ac:dyDescent="0.55000000000000004">
      <c r="C160" s="1">
        <f>G18</f>
        <v>0</v>
      </c>
      <c r="D160" s="34" t="s">
        <v>15</v>
      </c>
      <c r="E160" s="1">
        <v>1</v>
      </c>
    </row>
    <row r="161" spans="3:5" x14ac:dyDescent="0.55000000000000004">
      <c r="C161" s="1">
        <f>G19</f>
        <v>0</v>
      </c>
      <c r="D161" s="34" t="s">
        <v>15</v>
      </c>
      <c r="E161" s="1">
        <v>1</v>
      </c>
    </row>
  </sheetData>
  <mergeCells count="55">
    <mergeCell ref="A146:A149"/>
    <mergeCell ref="A130:A133"/>
    <mergeCell ref="B135:E135"/>
    <mergeCell ref="C136:F136"/>
    <mergeCell ref="A138:A141"/>
    <mergeCell ref="B143:E143"/>
    <mergeCell ref="C144:F144"/>
    <mergeCell ref="A114:A117"/>
    <mergeCell ref="B119:E119"/>
    <mergeCell ref="C120:F120"/>
    <mergeCell ref="A122:A125"/>
    <mergeCell ref="B127:E127"/>
    <mergeCell ref="C128:F128"/>
    <mergeCell ref="A98:A101"/>
    <mergeCell ref="B103:E103"/>
    <mergeCell ref="C104:F104"/>
    <mergeCell ref="A106:A109"/>
    <mergeCell ref="B111:E111"/>
    <mergeCell ref="C112:F112"/>
    <mergeCell ref="A82:A85"/>
    <mergeCell ref="B87:E87"/>
    <mergeCell ref="C88:F88"/>
    <mergeCell ref="A90:A93"/>
    <mergeCell ref="B95:E95"/>
    <mergeCell ref="C96:F96"/>
    <mergeCell ref="A66:A69"/>
    <mergeCell ref="B71:E71"/>
    <mergeCell ref="C72:F72"/>
    <mergeCell ref="A74:A77"/>
    <mergeCell ref="B79:E79"/>
    <mergeCell ref="C80:F80"/>
    <mergeCell ref="A50:A53"/>
    <mergeCell ref="B55:E55"/>
    <mergeCell ref="C56:F56"/>
    <mergeCell ref="A58:A61"/>
    <mergeCell ref="B63:E63"/>
    <mergeCell ref="C64:F64"/>
    <mergeCell ref="A34:A37"/>
    <mergeCell ref="B39:E39"/>
    <mergeCell ref="C40:F40"/>
    <mergeCell ref="A42:A45"/>
    <mergeCell ref="B47:E47"/>
    <mergeCell ref="C48:F48"/>
    <mergeCell ref="A16:A19"/>
    <mergeCell ref="A23:A24"/>
    <mergeCell ref="C23:F23"/>
    <mergeCell ref="A25:A28"/>
    <mergeCell ref="B31:E31"/>
    <mergeCell ref="C32:F32"/>
    <mergeCell ref="D1:O3"/>
    <mergeCell ref="A6:B6"/>
    <mergeCell ref="C6:F6"/>
    <mergeCell ref="A8:A11"/>
    <mergeCell ref="A14:A15"/>
    <mergeCell ref="C14:F1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161"/>
  <sheetViews>
    <sheetView topLeftCell="A11" zoomScale="120" zoomScaleNormal="120" workbookViewId="0">
      <selection activeCell="A14" sqref="A14:F19"/>
    </sheetView>
  </sheetViews>
  <sheetFormatPr defaultRowHeight="15.3" x14ac:dyDescent="0.55000000000000004"/>
  <cols>
    <col min="1" max="1" width="17.59765625" customWidth="1"/>
    <col min="2" max="2" width="8.75" customWidth="1"/>
    <col min="5" max="6" width="10.25" customWidth="1"/>
    <col min="7" max="7" width="5" customWidth="1"/>
    <col min="8" max="8" width="6.84765625" customWidth="1"/>
    <col min="9" max="9" width="4.5" customWidth="1"/>
    <col min="12" max="12" width="11.59765625" customWidth="1"/>
  </cols>
  <sheetData>
    <row r="1" spans="1:15" ht="31.5" customHeight="1" x14ac:dyDescent="0.55000000000000004">
      <c r="A1" s="32" t="s">
        <v>0</v>
      </c>
      <c r="B1" s="1">
        <f>SUMPRODUCT(C8:F11,C16:F19)</f>
        <v>38.5</v>
      </c>
      <c r="D1" s="41" t="s">
        <v>18</v>
      </c>
      <c r="E1" s="41"/>
      <c r="F1" s="41"/>
      <c r="G1" s="41"/>
      <c r="H1" s="41"/>
      <c r="I1" s="41"/>
      <c r="J1" s="41"/>
      <c r="K1" s="41"/>
      <c r="L1" s="41"/>
      <c r="M1" s="41"/>
      <c r="N1" s="41"/>
      <c r="O1" s="41"/>
    </row>
    <row r="2" spans="1:15" ht="23.25" customHeight="1" x14ac:dyDescent="0.55000000000000004">
      <c r="A2" s="32" t="s">
        <v>3</v>
      </c>
      <c r="B2" s="1">
        <f>CEILING(B1,1)</f>
        <v>39</v>
      </c>
      <c r="D2" s="41"/>
      <c r="E2" s="41"/>
      <c r="F2" s="41"/>
      <c r="G2" s="41"/>
      <c r="H2" s="41"/>
      <c r="I2" s="41"/>
      <c r="J2" s="41"/>
      <c r="K2" s="41"/>
      <c r="L2" s="41"/>
      <c r="M2" s="41"/>
      <c r="N2" s="41"/>
      <c r="O2" s="41"/>
    </row>
    <row r="3" spans="1:15" ht="23.25" customHeight="1" x14ac:dyDescent="0.55000000000000004">
      <c r="A3" s="32" t="s">
        <v>23</v>
      </c>
      <c r="B3" s="1" t="b">
        <f>IF(AND(D25,E25,E26,C26,C27,D27,F25,F26,F27,C28,D28,E28),TRUE,FALSE)</f>
        <v>1</v>
      </c>
      <c r="D3" s="41"/>
      <c r="E3" s="41"/>
      <c r="F3" s="41"/>
      <c r="G3" s="41"/>
      <c r="H3" s="41"/>
      <c r="I3" s="41"/>
      <c r="J3" s="41"/>
      <c r="K3" s="41"/>
      <c r="L3" s="41"/>
      <c r="M3" s="41"/>
      <c r="N3" s="41"/>
      <c r="O3" s="41"/>
    </row>
    <row r="4" spans="1:15" ht="23.25" customHeight="1" x14ac:dyDescent="0.55000000000000004">
      <c r="A4" s="32" t="s">
        <v>22</v>
      </c>
      <c r="B4" s="1" t="b">
        <f>AND(H16:H19,C21:F21,J34,J42,J50,J58,J66,J74,J82,J90,J98,J106,J114,J122,J130,J138,J146)</f>
        <v>1</v>
      </c>
      <c r="D4" s="27"/>
      <c r="E4" s="27"/>
      <c r="F4" s="27"/>
      <c r="G4" s="27"/>
      <c r="H4" s="27"/>
      <c r="I4" s="27"/>
      <c r="J4" s="27"/>
      <c r="K4" s="27"/>
      <c r="L4" s="27"/>
      <c r="M4" s="27"/>
      <c r="N4" s="27"/>
      <c r="O4" s="27"/>
    </row>
    <row r="5" spans="1:15" x14ac:dyDescent="0.55000000000000004">
      <c r="A5" s="3"/>
      <c r="B5" s="4"/>
    </row>
    <row r="6" spans="1:15" ht="31.5" customHeight="1" x14ac:dyDescent="0.55000000000000004">
      <c r="A6" s="42" t="s">
        <v>21</v>
      </c>
      <c r="B6" s="42"/>
      <c r="C6" s="38" t="s">
        <v>11</v>
      </c>
      <c r="D6" s="38"/>
      <c r="E6" s="38"/>
      <c r="F6" s="38"/>
    </row>
    <row r="7" spans="1:15" x14ac:dyDescent="0.55000000000000004">
      <c r="A7" s="4"/>
      <c r="B7" s="35"/>
      <c r="C7" s="6">
        <v>1</v>
      </c>
      <c r="D7" s="6">
        <v>2</v>
      </c>
      <c r="E7" s="6">
        <v>3</v>
      </c>
      <c r="F7" s="6">
        <v>4</v>
      </c>
    </row>
    <row r="8" spans="1:15" x14ac:dyDescent="0.55000000000000004">
      <c r="A8" s="36" t="s">
        <v>12</v>
      </c>
      <c r="B8" s="5">
        <v>1</v>
      </c>
      <c r="C8" s="11"/>
      <c r="D8" s="6">
        <v>9.5</v>
      </c>
      <c r="E8" s="6">
        <v>12</v>
      </c>
      <c r="F8" s="6">
        <v>10</v>
      </c>
    </row>
    <row r="9" spans="1:15" x14ac:dyDescent="0.55000000000000004">
      <c r="A9" s="36"/>
      <c r="B9" s="5">
        <v>2</v>
      </c>
      <c r="C9" s="6">
        <v>6</v>
      </c>
      <c r="D9" s="11"/>
      <c r="E9" s="6">
        <v>10</v>
      </c>
      <c r="F9" s="6">
        <v>14</v>
      </c>
    </row>
    <row r="10" spans="1:15" x14ac:dyDescent="0.55000000000000004">
      <c r="A10" s="36"/>
      <c r="B10" s="5">
        <v>3</v>
      </c>
      <c r="C10" s="6">
        <v>10</v>
      </c>
      <c r="D10" s="6">
        <v>11</v>
      </c>
      <c r="E10" s="11"/>
      <c r="F10" s="6">
        <v>12</v>
      </c>
    </row>
    <row r="11" spans="1:15" x14ac:dyDescent="0.55000000000000004">
      <c r="A11" s="36"/>
      <c r="B11" s="5">
        <v>4</v>
      </c>
      <c r="C11" s="6">
        <v>7</v>
      </c>
      <c r="D11" s="6">
        <v>8</v>
      </c>
      <c r="E11" s="6">
        <v>15</v>
      </c>
      <c r="F11" s="11"/>
    </row>
    <row r="12" spans="1:15" x14ac:dyDescent="0.55000000000000004">
      <c r="A12" s="3"/>
      <c r="B12" s="4"/>
    </row>
    <row r="13" spans="1:15" x14ac:dyDescent="0.55000000000000004">
      <c r="A13" s="7" t="s">
        <v>4</v>
      </c>
    </row>
    <row r="14" spans="1:15" x14ac:dyDescent="0.55000000000000004">
      <c r="A14" s="39" t="s">
        <v>1</v>
      </c>
      <c r="C14" s="38" t="s">
        <v>11</v>
      </c>
      <c r="D14" s="38"/>
      <c r="E14" s="38"/>
      <c r="F14" s="38"/>
    </row>
    <row r="15" spans="1:15" x14ac:dyDescent="0.55000000000000004">
      <c r="A15" s="40"/>
      <c r="C15" s="24">
        <v>1</v>
      </c>
      <c r="D15" s="24">
        <v>2</v>
      </c>
      <c r="E15" s="24">
        <v>3</v>
      </c>
      <c r="F15" s="25">
        <v>4</v>
      </c>
    </row>
    <row r="16" spans="1:15" x14ac:dyDescent="0.55000000000000004">
      <c r="A16" s="36" t="s">
        <v>12</v>
      </c>
      <c r="B16" s="22">
        <v>1</v>
      </c>
      <c r="C16" s="11">
        <v>0</v>
      </c>
      <c r="D16" s="43">
        <v>1</v>
      </c>
      <c r="E16" s="43">
        <v>0</v>
      </c>
      <c r="F16" s="43">
        <v>0</v>
      </c>
      <c r="G16" s="28">
        <f>SUM(C16:F16)</f>
        <v>1</v>
      </c>
      <c r="H16" s="1" t="b">
        <f>IF(G16=1,TRUE,FALSE)</f>
        <v>1</v>
      </c>
    </row>
    <row r="17" spans="1:9" x14ac:dyDescent="0.55000000000000004">
      <c r="A17" s="36"/>
      <c r="B17" s="22">
        <v>2</v>
      </c>
      <c r="C17" s="1">
        <v>0</v>
      </c>
      <c r="D17" s="11">
        <v>0</v>
      </c>
      <c r="E17" s="1">
        <v>1</v>
      </c>
      <c r="F17" s="1">
        <v>0</v>
      </c>
      <c r="G17" s="28">
        <f t="shared" ref="G17:G19" si="0">SUM(C17:F17)</f>
        <v>1</v>
      </c>
      <c r="H17" s="1" t="b">
        <f t="shared" ref="H17:H19" si="1">IF(G17=1,TRUE,FALSE)</f>
        <v>1</v>
      </c>
    </row>
    <row r="18" spans="1:9" x14ac:dyDescent="0.55000000000000004">
      <c r="A18" s="36"/>
      <c r="B18" s="22">
        <v>3</v>
      </c>
      <c r="C18" s="1">
        <v>0</v>
      </c>
      <c r="D18" s="1">
        <v>0</v>
      </c>
      <c r="E18" s="11">
        <v>0</v>
      </c>
      <c r="F18" s="18">
        <v>1</v>
      </c>
      <c r="G18" s="28">
        <f t="shared" si="0"/>
        <v>1</v>
      </c>
      <c r="H18" s="1" t="b">
        <f t="shared" si="1"/>
        <v>1</v>
      </c>
    </row>
    <row r="19" spans="1:9" x14ac:dyDescent="0.55000000000000004">
      <c r="A19" s="36"/>
      <c r="B19" s="23">
        <v>4</v>
      </c>
      <c r="C19" s="1">
        <v>1</v>
      </c>
      <c r="D19" s="1">
        <v>0</v>
      </c>
      <c r="E19" s="18">
        <v>0</v>
      </c>
      <c r="F19" s="11">
        <v>0</v>
      </c>
      <c r="G19" s="28">
        <f t="shared" si="0"/>
        <v>1</v>
      </c>
      <c r="H19" s="1" t="b">
        <f t="shared" si="1"/>
        <v>1</v>
      </c>
    </row>
    <row r="20" spans="1:9" x14ac:dyDescent="0.55000000000000004">
      <c r="A20" s="12"/>
      <c r="B20" s="4"/>
      <c r="C20" s="29">
        <f>SUM(C16:C19)</f>
        <v>1</v>
      </c>
      <c r="D20" s="29">
        <f t="shared" ref="D20:F20" si="2">SUM(D16:D19)</f>
        <v>1</v>
      </c>
      <c r="E20" s="29">
        <f t="shared" si="2"/>
        <v>1</v>
      </c>
      <c r="F20" s="29">
        <f t="shared" si="2"/>
        <v>1</v>
      </c>
    </row>
    <row r="21" spans="1:9" x14ac:dyDescent="0.55000000000000004">
      <c r="A21" s="12"/>
      <c r="B21" s="4"/>
      <c r="C21" s="1" t="b">
        <f>IF(C20=1,TRUE,FALSE)</f>
        <v>1</v>
      </c>
      <c r="D21" s="1" t="b">
        <f t="shared" ref="D21:F21" si="3">IF(D20=1,TRUE,FALSE)</f>
        <v>1</v>
      </c>
      <c r="E21" s="1" t="b">
        <f t="shared" si="3"/>
        <v>1</v>
      </c>
      <c r="F21" s="1" t="b">
        <f t="shared" si="3"/>
        <v>1</v>
      </c>
    </row>
    <row r="22" spans="1:9" x14ac:dyDescent="0.55000000000000004">
      <c r="A22" s="12"/>
      <c r="B22" s="4"/>
      <c r="C22" s="4"/>
      <c r="D22" s="4"/>
      <c r="E22" s="15"/>
      <c r="F22" s="15"/>
    </row>
    <row r="23" spans="1:9" x14ac:dyDescent="0.55000000000000004">
      <c r="A23" s="39" t="s">
        <v>13</v>
      </c>
      <c r="C23" s="38" t="s">
        <v>11</v>
      </c>
      <c r="D23" s="38"/>
      <c r="E23" s="38"/>
      <c r="F23" s="38"/>
    </row>
    <row r="24" spans="1:9" x14ac:dyDescent="0.55000000000000004">
      <c r="A24" s="40"/>
      <c r="C24" s="24">
        <v>1</v>
      </c>
      <c r="D24" s="24">
        <v>2</v>
      </c>
      <c r="E24" s="24">
        <v>3</v>
      </c>
      <c r="F24" s="25">
        <v>4</v>
      </c>
    </row>
    <row r="25" spans="1:9" x14ac:dyDescent="0.55000000000000004">
      <c r="A25" s="36" t="s">
        <v>12</v>
      </c>
      <c r="B25" s="1">
        <v>1</v>
      </c>
      <c r="C25" s="11"/>
      <c r="D25" s="1" t="b">
        <f>IF(D16=FLOOR(D16,1),TRUE,FALSE)</f>
        <v>1</v>
      </c>
      <c r="E25" s="1" t="b">
        <f>IF(E16=FLOOR(E16,1),TRUE,FALSE)</f>
        <v>1</v>
      </c>
      <c r="F25" s="1" t="b">
        <f>IF(F16=FLOOR(F16,1),TRUE,FALSE)</f>
        <v>1</v>
      </c>
    </row>
    <row r="26" spans="1:9" x14ac:dyDescent="0.55000000000000004">
      <c r="A26" s="36"/>
      <c r="B26" s="1">
        <v>2</v>
      </c>
      <c r="C26" s="1" t="b">
        <f>IF(C17=FLOOR(C17,1),TRUE,FALSE)</f>
        <v>1</v>
      </c>
      <c r="D26" s="11"/>
      <c r="E26" s="1" t="b">
        <f>IF(E17=FLOOR(E17,1),TRUE,FALSE)</f>
        <v>1</v>
      </c>
      <c r="F26" s="1" t="b">
        <f>IF(F17=FLOOR(F17,1),TRUE,FALSE)</f>
        <v>1</v>
      </c>
    </row>
    <row r="27" spans="1:9" x14ac:dyDescent="0.55000000000000004">
      <c r="A27" s="36"/>
      <c r="B27" s="1">
        <v>3</v>
      </c>
      <c r="C27" s="1" t="b">
        <f>IF(C18=FLOOR(C18,1),TRUE,FALSE)</f>
        <v>1</v>
      </c>
      <c r="D27" s="1" t="b">
        <f>IF(D18=FLOOR(D18,1),TRUE,FALSE)</f>
        <v>1</v>
      </c>
      <c r="E27" s="11"/>
      <c r="F27" s="1" t="b">
        <f>IF(F18=FLOOR(F18,1),TRUE,FALSE)</f>
        <v>1</v>
      </c>
    </row>
    <row r="28" spans="1:9" ht="15.6" customHeight="1" x14ac:dyDescent="0.55000000000000004">
      <c r="A28" s="36"/>
      <c r="B28" s="19">
        <v>4</v>
      </c>
      <c r="C28" s="1" t="b">
        <f>IF(C19=FLOOR(C19,1),TRUE,FALSE)</f>
        <v>1</v>
      </c>
      <c r="D28" s="1" t="b">
        <f>IF(D19=FLOOR(D19,1),TRUE,FALSE)</f>
        <v>1</v>
      </c>
      <c r="E28" s="1" t="b">
        <f>IF(E19=FLOOR(E19,1),TRUE,FALSE)</f>
        <v>1</v>
      </c>
      <c r="F28" s="11"/>
    </row>
    <row r="29" spans="1:9" x14ac:dyDescent="0.55000000000000004">
      <c r="A29" s="3"/>
      <c r="B29" s="4"/>
      <c r="C29" s="4"/>
      <c r="D29" s="4"/>
    </row>
    <row r="31" spans="1:9" x14ac:dyDescent="0.55000000000000004">
      <c r="A31" t="s">
        <v>2</v>
      </c>
      <c r="B31" s="37" t="s">
        <v>20</v>
      </c>
      <c r="C31" s="37"/>
      <c r="D31" s="37"/>
      <c r="E31" s="37"/>
      <c r="F31" s="33"/>
      <c r="G31" s="13"/>
      <c r="H31" s="13"/>
      <c r="I31" s="4"/>
    </row>
    <row r="32" spans="1:9" x14ac:dyDescent="0.55000000000000004">
      <c r="C32" s="38" t="s">
        <v>11</v>
      </c>
      <c r="D32" s="38"/>
      <c r="E32" s="38"/>
      <c r="F32" s="38"/>
      <c r="G32" s="4"/>
      <c r="H32" s="4"/>
      <c r="I32" s="4"/>
    </row>
    <row r="33" spans="1:10" x14ac:dyDescent="0.55000000000000004">
      <c r="C33" s="10">
        <v>1</v>
      </c>
      <c r="D33" s="10">
        <v>2</v>
      </c>
      <c r="E33" s="10">
        <v>3</v>
      </c>
      <c r="F33" s="20">
        <v>4</v>
      </c>
      <c r="G33" s="4"/>
      <c r="H33" s="4"/>
      <c r="I33" s="4"/>
    </row>
    <row r="34" spans="1:10" x14ac:dyDescent="0.55000000000000004">
      <c r="A34" s="36" t="s">
        <v>12</v>
      </c>
      <c r="B34" s="1">
        <v>1</v>
      </c>
      <c r="C34" s="11" t="s">
        <v>14</v>
      </c>
      <c r="D34" s="1">
        <v>1</v>
      </c>
      <c r="E34" s="1">
        <v>1</v>
      </c>
      <c r="F34" s="1">
        <v>1</v>
      </c>
      <c r="G34" s="4">
        <f>SUMPRODUCT(C34:F37,$C$16:$F$19)</f>
        <v>4</v>
      </c>
      <c r="H34" s="4" t="s">
        <v>15</v>
      </c>
      <c r="I34" s="14">
        <v>4</v>
      </c>
      <c r="J34" t="b">
        <f>IF(G34=I34,TRUE,FALSE)</f>
        <v>1</v>
      </c>
    </row>
    <row r="35" spans="1:10" x14ac:dyDescent="0.55000000000000004">
      <c r="A35" s="36"/>
      <c r="B35" s="1">
        <v>2</v>
      </c>
      <c r="C35" s="1">
        <v>1</v>
      </c>
      <c r="D35" s="11"/>
      <c r="E35" s="1">
        <v>1</v>
      </c>
      <c r="F35" s="1">
        <v>1</v>
      </c>
      <c r="G35" s="4"/>
      <c r="H35" s="4"/>
      <c r="I35" s="4"/>
    </row>
    <row r="36" spans="1:10" x14ac:dyDescent="0.55000000000000004">
      <c r="A36" s="36"/>
      <c r="B36" s="1">
        <v>3</v>
      </c>
      <c r="C36" s="1">
        <v>1</v>
      </c>
      <c r="D36" s="1">
        <v>1</v>
      </c>
      <c r="E36" s="11"/>
      <c r="F36" s="1">
        <v>1</v>
      </c>
      <c r="G36" s="14"/>
      <c r="H36" s="14"/>
      <c r="I36" s="4"/>
    </row>
    <row r="37" spans="1:10" x14ac:dyDescent="0.55000000000000004">
      <c r="A37" s="36"/>
      <c r="B37" s="19">
        <v>4</v>
      </c>
      <c r="C37" s="1">
        <v>1</v>
      </c>
      <c r="D37" s="1">
        <v>1</v>
      </c>
      <c r="E37" s="11"/>
      <c r="F37" s="1">
        <v>1</v>
      </c>
      <c r="G37" s="14"/>
      <c r="H37" s="14"/>
      <c r="I37" s="4"/>
    </row>
    <row r="38" spans="1:10" x14ac:dyDescent="0.55000000000000004">
      <c r="B38" s="4"/>
      <c r="C38" s="4"/>
      <c r="D38" s="4"/>
      <c r="E38" s="4"/>
      <c r="F38" s="4"/>
      <c r="G38" s="14"/>
      <c r="H38" s="14"/>
      <c r="I38" s="4"/>
    </row>
    <row r="39" spans="1:10" x14ac:dyDescent="0.55000000000000004">
      <c r="B39" s="37" t="s">
        <v>19</v>
      </c>
      <c r="C39" s="37"/>
      <c r="D39" s="37"/>
      <c r="E39" s="37"/>
      <c r="F39" s="33"/>
      <c r="G39" s="14"/>
      <c r="H39" s="14"/>
      <c r="I39" s="4"/>
    </row>
    <row r="40" spans="1:10" x14ac:dyDescent="0.55000000000000004">
      <c r="C40" s="38" t="s">
        <v>11</v>
      </c>
      <c r="D40" s="38"/>
      <c r="E40" s="38"/>
      <c r="F40" s="38"/>
      <c r="G40" s="14"/>
      <c r="H40" s="14"/>
      <c r="I40" s="4"/>
    </row>
    <row r="41" spans="1:10" x14ac:dyDescent="0.55000000000000004">
      <c r="C41" s="10">
        <v>1</v>
      </c>
      <c r="D41" s="10">
        <v>2</v>
      </c>
      <c r="E41" s="10">
        <v>3</v>
      </c>
      <c r="F41" s="20">
        <v>4</v>
      </c>
    </row>
    <row r="42" spans="1:10" x14ac:dyDescent="0.55000000000000004">
      <c r="A42" s="36" t="s">
        <v>12</v>
      </c>
      <c r="B42" s="1">
        <v>1</v>
      </c>
      <c r="C42" s="11"/>
      <c r="D42" s="1">
        <v>1</v>
      </c>
      <c r="E42" s="1"/>
      <c r="F42" s="1"/>
      <c r="G42" s="4">
        <f>SUMPRODUCT(C42:F45,$C$16:$F$19)</f>
        <v>2</v>
      </c>
      <c r="H42" s="17" t="s">
        <v>17</v>
      </c>
      <c r="I42" s="14">
        <v>2</v>
      </c>
      <c r="J42" t="b">
        <f>IF(G42&lt;=I42,TRUE,FALSE)</f>
        <v>1</v>
      </c>
    </row>
    <row r="43" spans="1:10" x14ac:dyDescent="0.55000000000000004">
      <c r="A43" s="36"/>
      <c r="B43" s="1">
        <v>2</v>
      </c>
      <c r="C43" s="1"/>
      <c r="D43" s="11"/>
      <c r="E43" s="1">
        <v>1</v>
      </c>
      <c r="F43" s="1"/>
    </row>
    <row r="44" spans="1:10" x14ac:dyDescent="0.55000000000000004">
      <c r="A44" s="36"/>
      <c r="B44" s="1">
        <v>3</v>
      </c>
      <c r="C44" s="1">
        <v>1</v>
      </c>
      <c r="D44" s="1"/>
      <c r="E44" s="11"/>
      <c r="F44" s="18"/>
    </row>
    <row r="45" spans="1:10" x14ac:dyDescent="0.55000000000000004">
      <c r="A45" s="36"/>
      <c r="B45" s="19">
        <v>4</v>
      </c>
      <c r="C45" s="1"/>
      <c r="D45" s="1"/>
      <c r="E45" s="18"/>
      <c r="F45" s="11"/>
    </row>
    <row r="47" spans="1:10" x14ac:dyDescent="0.55000000000000004">
      <c r="B47" s="37" t="s">
        <v>19</v>
      </c>
      <c r="C47" s="37"/>
      <c r="D47" s="37"/>
      <c r="E47" s="37"/>
      <c r="F47" s="33"/>
    </row>
    <row r="48" spans="1:10" x14ac:dyDescent="0.55000000000000004">
      <c r="C48" s="38" t="s">
        <v>11</v>
      </c>
      <c r="D48" s="38"/>
      <c r="E48" s="38"/>
      <c r="F48" s="38"/>
    </row>
    <row r="49" spans="1:10" x14ac:dyDescent="0.55000000000000004">
      <c r="C49" s="10">
        <v>1</v>
      </c>
      <c r="D49" s="10">
        <v>2</v>
      </c>
      <c r="E49" s="10">
        <v>3</v>
      </c>
      <c r="F49" s="20">
        <v>4</v>
      </c>
    </row>
    <row r="50" spans="1:10" x14ac:dyDescent="0.55000000000000004">
      <c r="A50" s="36" t="s">
        <v>12</v>
      </c>
      <c r="B50" s="1">
        <v>1</v>
      </c>
      <c r="C50" s="11" t="s">
        <v>14</v>
      </c>
      <c r="D50" s="1">
        <v>1</v>
      </c>
      <c r="E50" s="1"/>
      <c r="F50" s="1"/>
      <c r="G50" s="4">
        <f>SUMPRODUCT(C50:F53,$C$16:$F$19)</f>
        <v>2</v>
      </c>
      <c r="H50" s="17" t="s">
        <v>17</v>
      </c>
      <c r="I50" s="14">
        <v>2</v>
      </c>
      <c r="J50" t="b">
        <f>IF(G50&lt;=I50,TRUE,FALSE)</f>
        <v>1</v>
      </c>
    </row>
    <row r="51" spans="1:10" x14ac:dyDescent="0.55000000000000004">
      <c r="A51" s="36"/>
      <c r="B51" s="1">
        <v>2</v>
      </c>
      <c r="C51" s="1"/>
      <c r="D51" s="11"/>
      <c r="E51" s="1"/>
      <c r="F51" s="1">
        <v>1</v>
      </c>
    </row>
    <row r="52" spans="1:10" x14ac:dyDescent="0.55000000000000004">
      <c r="A52" s="36"/>
      <c r="B52" s="1">
        <v>3</v>
      </c>
      <c r="C52" s="1"/>
      <c r="D52" s="1"/>
      <c r="E52" s="11"/>
      <c r="F52" s="18"/>
    </row>
    <row r="53" spans="1:10" x14ac:dyDescent="0.55000000000000004">
      <c r="A53" s="36"/>
      <c r="B53" s="19">
        <v>4</v>
      </c>
      <c r="C53" s="1">
        <v>1</v>
      </c>
      <c r="D53" s="1"/>
      <c r="E53" s="18"/>
      <c r="F53" s="11"/>
    </row>
    <row r="55" spans="1:10" x14ac:dyDescent="0.55000000000000004">
      <c r="B55" s="37" t="s">
        <v>19</v>
      </c>
      <c r="C55" s="37"/>
      <c r="D55" s="37"/>
      <c r="E55" s="37"/>
      <c r="F55" s="33"/>
    </row>
    <row r="56" spans="1:10" x14ac:dyDescent="0.55000000000000004">
      <c r="C56" s="38" t="s">
        <v>11</v>
      </c>
      <c r="D56" s="38"/>
      <c r="E56" s="38"/>
      <c r="F56" s="38"/>
    </row>
    <row r="57" spans="1:10" x14ac:dyDescent="0.55000000000000004">
      <c r="C57" s="10">
        <v>1</v>
      </c>
      <c r="D57" s="10">
        <v>2</v>
      </c>
      <c r="E57" s="10">
        <v>3</v>
      </c>
      <c r="F57" s="20">
        <v>4</v>
      </c>
    </row>
    <row r="58" spans="1:10" x14ac:dyDescent="0.55000000000000004">
      <c r="A58" s="36" t="s">
        <v>12</v>
      </c>
      <c r="B58" s="1">
        <v>1</v>
      </c>
      <c r="C58" s="11" t="s">
        <v>14</v>
      </c>
      <c r="D58" s="1"/>
      <c r="E58" s="1">
        <v>1</v>
      </c>
      <c r="F58" s="1"/>
      <c r="G58" s="4">
        <f>SUMPRODUCT(C58:F61,$C$16:$F$19)</f>
        <v>2</v>
      </c>
      <c r="H58" s="17" t="s">
        <v>17</v>
      </c>
      <c r="I58" s="14">
        <v>2</v>
      </c>
      <c r="J58" t="b">
        <f>IF(G58&lt;=I58,TRUE,FALSE)</f>
        <v>1</v>
      </c>
    </row>
    <row r="59" spans="1:10" x14ac:dyDescent="0.55000000000000004">
      <c r="A59" s="36"/>
      <c r="B59" s="1">
        <v>2</v>
      </c>
      <c r="C59" s="1"/>
      <c r="D59" s="11"/>
      <c r="E59" s="1"/>
      <c r="F59" s="1"/>
    </row>
    <row r="60" spans="1:10" x14ac:dyDescent="0.55000000000000004">
      <c r="A60" s="36"/>
      <c r="B60" s="1">
        <v>3</v>
      </c>
      <c r="C60" s="1"/>
      <c r="D60" s="1"/>
      <c r="E60" s="11"/>
      <c r="F60" s="18">
        <v>1</v>
      </c>
    </row>
    <row r="61" spans="1:10" x14ac:dyDescent="0.55000000000000004">
      <c r="A61" s="36"/>
      <c r="B61" s="19">
        <v>4</v>
      </c>
      <c r="C61" s="1">
        <v>1</v>
      </c>
      <c r="D61" s="1"/>
      <c r="E61" s="18"/>
      <c r="F61" s="18"/>
    </row>
    <row r="62" spans="1:10" x14ac:dyDescent="0.55000000000000004">
      <c r="B62" s="4"/>
      <c r="C62" s="4"/>
      <c r="D62" s="4"/>
      <c r="E62" s="15"/>
      <c r="F62" s="15"/>
    </row>
    <row r="63" spans="1:10" x14ac:dyDescent="0.55000000000000004">
      <c r="B63" s="37" t="s">
        <v>19</v>
      </c>
      <c r="C63" s="37"/>
      <c r="D63" s="37"/>
      <c r="E63" s="37"/>
      <c r="F63" s="33"/>
    </row>
    <row r="64" spans="1:10" x14ac:dyDescent="0.55000000000000004">
      <c r="C64" s="38" t="s">
        <v>11</v>
      </c>
      <c r="D64" s="38"/>
      <c r="E64" s="38"/>
      <c r="F64" s="38"/>
    </row>
    <row r="65" spans="1:10" x14ac:dyDescent="0.55000000000000004">
      <c r="C65" s="10">
        <v>1</v>
      </c>
      <c r="D65" s="10">
        <v>2</v>
      </c>
      <c r="E65" s="10">
        <v>3</v>
      </c>
      <c r="F65" s="20">
        <v>4</v>
      </c>
    </row>
    <row r="66" spans="1:10" x14ac:dyDescent="0.55000000000000004">
      <c r="A66" s="36" t="s">
        <v>12</v>
      </c>
      <c r="B66" s="1">
        <v>1</v>
      </c>
      <c r="C66" s="11" t="s">
        <v>14</v>
      </c>
      <c r="D66" s="1"/>
      <c r="E66" s="1"/>
      <c r="F66" s="1"/>
      <c r="G66" s="4">
        <f>SUMPRODUCT(C66:F69,$C$16:$F$19)</f>
        <v>2</v>
      </c>
      <c r="H66" s="17" t="s">
        <v>17</v>
      </c>
      <c r="I66" s="14">
        <v>2</v>
      </c>
      <c r="J66" t="b">
        <f>IF(G66&lt;=I66,TRUE,FALSE)</f>
        <v>1</v>
      </c>
    </row>
    <row r="67" spans="1:10" x14ac:dyDescent="0.55000000000000004">
      <c r="A67" s="36"/>
      <c r="B67" s="1">
        <v>2</v>
      </c>
      <c r="C67" s="1"/>
      <c r="D67" s="11"/>
      <c r="E67" s="1">
        <v>1</v>
      </c>
      <c r="F67" s="1"/>
    </row>
    <row r="68" spans="1:10" x14ac:dyDescent="0.55000000000000004">
      <c r="A68" s="36"/>
      <c r="B68" s="1">
        <v>3</v>
      </c>
      <c r="C68" s="1"/>
      <c r="D68" s="1"/>
      <c r="E68" s="11"/>
      <c r="F68" s="18">
        <v>1</v>
      </c>
    </row>
    <row r="69" spans="1:10" x14ac:dyDescent="0.55000000000000004">
      <c r="A69" s="36"/>
      <c r="B69" s="19">
        <v>4</v>
      </c>
      <c r="C69" s="1"/>
      <c r="D69" s="1">
        <v>1</v>
      </c>
      <c r="E69" s="18"/>
      <c r="F69" s="18"/>
    </row>
    <row r="70" spans="1:10" x14ac:dyDescent="0.55000000000000004">
      <c r="B70" s="4"/>
      <c r="C70" s="4"/>
      <c r="D70" s="4"/>
      <c r="E70" s="4"/>
      <c r="F70" s="4"/>
      <c r="G70" s="14"/>
      <c r="H70" s="14"/>
      <c r="I70" s="4"/>
    </row>
    <row r="71" spans="1:10" x14ac:dyDescent="0.55000000000000004">
      <c r="B71" s="37" t="s">
        <v>19</v>
      </c>
      <c r="C71" s="37"/>
      <c r="D71" s="37"/>
      <c r="E71" s="37"/>
      <c r="F71" s="33"/>
      <c r="G71" s="14"/>
      <c r="H71" s="14"/>
      <c r="I71" s="4"/>
    </row>
    <row r="72" spans="1:10" x14ac:dyDescent="0.55000000000000004">
      <c r="C72" s="38" t="s">
        <v>11</v>
      </c>
      <c r="D72" s="38"/>
      <c r="E72" s="38"/>
      <c r="F72" s="38"/>
      <c r="G72" s="14"/>
      <c r="H72" s="14"/>
      <c r="I72" s="4"/>
    </row>
    <row r="73" spans="1:10" x14ac:dyDescent="0.55000000000000004">
      <c r="C73" s="10">
        <v>1</v>
      </c>
      <c r="D73" s="10">
        <v>2</v>
      </c>
      <c r="E73" s="10">
        <v>3</v>
      </c>
      <c r="F73" s="20">
        <v>4</v>
      </c>
    </row>
    <row r="74" spans="1:10" x14ac:dyDescent="0.55000000000000004">
      <c r="A74" s="36" t="s">
        <v>12</v>
      </c>
      <c r="B74" s="1">
        <v>1</v>
      </c>
      <c r="C74" s="11"/>
      <c r="D74" s="1"/>
      <c r="E74" s="1">
        <v>1</v>
      </c>
      <c r="F74" s="1"/>
      <c r="G74" s="4">
        <f>SUMPRODUCT(C74:F77,$C$16:$F$19)</f>
        <v>0</v>
      </c>
      <c r="H74" s="17" t="s">
        <v>17</v>
      </c>
      <c r="I74" s="14">
        <v>2</v>
      </c>
      <c r="J74" t="b">
        <f>IF(G74&lt;=I74,TRUE,FALSE)</f>
        <v>1</v>
      </c>
    </row>
    <row r="75" spans="1:10" x14ac:dyDescent="0.55000000000000004">
      <c r="A75" s="36"/>
      <c r="B75" s="1">
        <v>2</v>
      </c>
      <c r="C75" s="1">
        <v>1</v>
      </c>
      <c r="D75" s="11"/>
      <c r="E75" s="1"/>
      <c r="F75" s="1"/>
    </row>
    <row r="76" spans="1:10" x14ac:dyDescent="0.55000000000000004">
      <c r="A76" s="36"/>
      <c r="B76" s="1">
        <v>3</v>
      </c>
      <c r="C76" s="1"/>
      <c r="D76" s="1">
        <v>1</v>
      </c>
      <c r="E76" s="11"/>
      <c r="F76" s="18"/>
    </row>
    <row r="77" spans="1:10" x14ac:dyDescent="0.55000000000000004">
      <c r="A77" s="36"/>
      <c r="B77" s="19">
        <v>4</v>
      </c>
      <c r="C77" s="1"/>
      <c r="D77" s="1"/>
      <c r="E77" s="18"/>
      <c r="F77" s="11"/>
    </row>
    <row r="79" spans="1:10" x14ac:dyDescent="0.55000000000000004">
      <c r="B79" s="37" t="s">
        <v>19</v>
      </c>
      <c r="C79" s="37"/>
      <c r="D79" s="37"/>
      <c r="E79" s="37"/>
      <c r="F79" s="33"/>
    </row>
    <row r="80" spans="1:10" x14ac:dyDescent="0.55000000000000004">
      <c r="C80" s="38" t="s">
        <v>11</v>
      </c>
      <c r="D80" s="38"/>
      <c r="E80" s="38"/>
      <c r="F80" s="38"/>
    </row>
    <row r="81" spans="1:10" x14ac:dyDescent="0.55000000000000004">
      <c r="C81" s="10">
        <v>1</v>
      </c>
      <c r="D81" s="10">
        <v>2</v>
      </c>
      <c r="E81" s="10">
        <v>3</v>
      </c>
      <c r="F81" s="20">
        <v>4</v>
      </c>
    </row>
    <row r="82" spans="1:10" x14ac:dyDescent="0.55000000000000004">
      <c r="A82" s="36" t="s">
        <v>12</v>
      </c>
      <c r="B82" s="1">
        <v>1</v>
      </c>
      <c r="C82" s="11" t="s">
        <v>14</v>
      </c>
      <c r="D82" s="1"/>
      <c r="E82" s="1"/>
      <c r="F82" s="1">
        <v>1</v>
      </c>
      <c r="G82" s="4">
        <f>SUMPRODUCT(C82:F85,$C$16:$F$19)</f>
        <v>0</v>
      </c>
      <c r="H82" s="17" t="s">
        <v>17</v>
      </c>
      <c r="I82" s="14">
        <v>2</v>
      </c>
      <c r="J82" t="b">
        <f>IF(G82&lt;=I82,TRUE,FALSE)</f>
        <v>1</v>
      </c>
    </row>
    <row r="83" spans="1:10" x14ac:dyDescent="0.55000000000000004">
      <c r="A83" s="36"/>
      <c r="B83" s="1">
        <v>2</v>
      </c>
      <c r="C83" s="1">
        <v>1</v>
      </c>
      <c r="D83" s="11"/>
      <c r="E83" s="1"/>
      <c r="F83" s="1"/>
    </row>
    <row r="84" spans="1:10" x14ac:dyDescent="0.55000000000000004">
      <c r="A84" s="36"/>
      <c r="B84" s="1">
        <v>3</v>
      </c>
      <c r="C84" s="1"/>
      <c r="D84" s="1"/>
      <c r="E84" s="11"/>
      <c r="F84" s="18"/>
    </row>
    <row r="85" spans="1:10" x14ac:dyDescent="0.55000000000000004">
      <c r="A85" s="36"/>
      <c r="B85" s="19">
        <v>4</v>
      </c>
      <c r="C85" s="1"/>
      <c r="D85" s="1">
        <v>1</v>
      </c>
      <c r="E85" s="18"/>
      <c r="F85" s="11"/>
    </row>
    <row r="87" spans="1:10" x14ac:dyDescent="0.55000000000000004">
      <c r="B87" s="37" t="s">
        <v>19</v>
      </c>
      <c r="C87" s="37"/>
      <c r="D87" s="37"/>
      <c r="E87" s="37"/>
      <c r="F87" s="33"/>
    </row>
    <row r="88" spans="1:10" x14ac:dyDescent="0.55000000000000004">
      <c r="C88" s="38" t="s">
        <v>11</v>
      </c>
      <c r="D88" s="38"/>
      <c r="E88" s="38"/>
      <c r="F88" s="38"/>
    </row>
    <row r="89" spans="1:10" x14ac:dyDescent="0.55000000000000004">
      <c r="C89" s="10">
        <v>1</v>
      </c>
      <c r="D89" s="10">
        <v>2</v>
      </c>
      <c r="E89" s="10">
        <v>3</v>
      </c>
      <c r="F89" s="20">
        <v>4</v>
      </c>
    </row>
    <row r="90" spans="1:10" x14ac:dyDescent="0.55000000000000004">
      <c r="A90" s="36" t="s">
        <v>12</v>
      </c>
      <c r="B90" s="1">
        <v>1</v>
      </c>
      <c r="C90" s="11" t="s">
        <v>14</v>
      </c>
      <c r="D90" s="1"/>
      <c r="E90" s="1">
        <v>1</v>
      </c>
      <c r="F90" s="1"/>
      <c r="G90" s="4">
        <f>SUMPRODUCT(C90:F93,$C$16:$F$19)</f>
        <v>2</v>
      </c>
      <c r="H90" s="17" t="s">
        <v>17</v>
      </c>
      <c r="I90" s="14">
        <v>2</v>
      </c>
      <c r="J90" t="b">
        <f>IF(G90&lt;=I90,TRUE,FALSE)</f>
        <v>1</v>
      </c>
    </row>
    <row r="91" spans="1:10" x14ac:dyDescent="0.55000000000000004">
      <c r="A91" s="36"/>
      <c r="B91" s="1">
        <v>2</v>
      </c>
      <c r="C91" s="1"/>
      <c r="D91" s="11"/>
      <c r="E91" s="1"/>
      <c r="F91" s="1"/>
    </row>
    <row r="92" spans="1:10" x14ac:dyDescent="0.55000000000000004">
      <c r="A92" s="36"/>
      <c r="B92" s="1">
        <v>3</v>
      </c>
      <c r="C92" s="1"/>
      <c r="D92" s="1"/>
      <c r="E92" s="11"/>
      <c r="F92" s="18">
        <v>1</v>
      </c>
    </row>
    <row r="93" spans="1:10" x14ac:dyDescent="0.55000000000000004">
      <c r="A93" s="36"/>
      <c r="B93" s="19">
        <v>4</v>
      </c>
      <c r="C93" s="1">
        <v>1</v>
      </c>
      <c r="D93" s="1"/>
      <c r="E93" s="18"/>
      <c r="F93" s="18"/>
    </row>
    <row r="94" spans="1:10" x14ac:dyDescent="0.55000000000000004">
      <c r="B94" s="4"/>
      <c r="C94" s="4"/>
      <c r="D94" s="4"/>
      <c r="E94" s="15"/>
      <c r="F94" s="15"/>
    </row>
    <row r="95" spans="1:10" x14ac:dyDescent="0.55000000000000004">
      <c r="B95" s="37" t="s">
        <v>19</v>
      </c>
      <c r="C95" s="37"/>
      <c r="D95" s="37"/>
      <c r="E95" s="37"/>
      <c r="F95" s="33"/>
    </row>
    <row r="96" spans="1:10" x14ac:dyDescent="0.55000000000000004">
      <c r="C96" s="38" t="s">
        <v>11</v>
      </c>
      <c r="D96" s="38"/>
      <c r="E96" s="38"/>
      <c r="F96" s="38"/>
    </row>
    <row r="97" spans="1:10" x14ac:dyDescent="0.55000000000000004">
      <c r="C97" s="10">
        <v>1</v>
      </c>
      <c r="D97" s="10">
        <v>2</v>
      </c>
      <c r="E97" s="10">
        <v>3</v>
      </c>
      <c r="F97" s="20">
        <v>4</v>
      </c>
    </row>
    <row r="98" spans="1:10" x14ac:dyDescent="0.55000000000000004">
      <c r="A98" s="36" t="s">
        <v>12</v>
      </c>
      <c r="B98" s="1">
        <v>1</v>
      </c>
      <c r="C98" s="11" t="s">
        <v>14</v>
      </c>
      <c r="D98" s="1"/>
      <c r="E98" s="1"/>
      <c r="F98" s="1"/>
      <c r="G98" s="4">
        <f>SUMPRODUCT(C98:F101,$C$16:$F$19)</f>
        <v>0</v>
      </c>
      <c r="H98" s="17" t="s">
        <v>17</v>
      </c>
      <c r="I98" s="14">
        <v>2</v>
      </c>
      <c r="J98" t="b">
        <f>IF(G98&lt;=I98,TRUE,FALSE)</f>
        <v>1</v>
      </c>
    </row>
    <row r="99" spans="1:10" x14ac:dyDescent="0.55000000000000004">
      <c r="A99" s="36"/>
      <c r="B99" s="1">
        <v>2</v>
      </c>
      <c r="C99" s="1"/>
      <c r="D99" s="11"/>
      <c r="E99" s="1"/>
      <c r="F99" s="1">
        <v>1</v>
      </c>
    </row>
    <row r="100" spans="1:10" x14ac:dyDescent="0.55000000000000004">
      <c r="A100" s="36"/>
      <c r="B100" s="1">
        <v>3</v>
      </c>
      <c r="C100" s="1"/>
      <c r="D100" s="1">
        <v>1</v>
      </c>
      <c r="E100" s="11"/>
      <c r="F100" s="18"/>
    </row>
    <row r="101" spans="1:10" x14ac:dyDescent="0.55000000000000004">
      <c r="A101" s="36"/>
      <c r="B101" s="19">
        <v>4</v>
      </c>
      <c r="C101" s="1"/>
      <c r="D101" s="1"/>
      <c r="E101" s="18">
        <v>1</v>
      </c>
      <c r="F101" s="18"/>
    </row>
    <row r="102" spans="1:10" x14ac:dyDescent="0.55000000000000004">
      <c r="B102" s="4"/>
      <c r="C102" s="4"/>
      <c r="D102" s="4"/>
      <c r="E102" s="15"/>
      <c r="F102" s="15"/>
    </row>
    <row r="103" spans="1:10" x14ac:dyDescent="0.55000000000000004">
      <c r="B103" s="37" t="s">
        <v>16</v>
      </c>
      <c r="C103" s="37"/>
      <c r="D103" s="37"/>
      <c r="E103" s="37"/>
      <c r="F103" s="33"/>
    </row>
    <row r="104" spans="1:10" x14ac:dyDescent="0.55000000000000004">
      <c r="C104" s="38" t="s">
        <v>11</v>
      </c>
      <c r="D104" s="38"/>
      <c r="E104" s="38"/>
      <c r="F104" s="38"/>
    </row>
    <row r="105" spans="1:10" x14ac:dyDescent="0.55000000000000004">
      <c r="C105" s="10">
        <v>1</v>
      </c>
      <c r="D105" s="10">
        <v>2</v>
      </c>
      <c r="E105" s="10">
        <v>3</v>
      </c>
      <c r="F105" s="20">
        <v>4</v>
      </c>
    </row>
    <row r="106" spans="1:10" x14ac:dyDescent="0.55000000000000004">
      <c r="A106" s="36" t="s">
        <v>12</v>
      </c>
      <c r="B106" s="1">
        <v>1</v>
      </c>
      <c r="C106" s="11" t="s">
        <v>14</v>
      </c>
      <c r="D106" s="1">
        <v>1</v>
      </c>
      <c r="E106" s="1"/>
      <c r="F106" s="1"/>
      <c r="G106" s="4">
        <f>SUMPRODUCT(C106:F109,$C$16:$F$19)</f>
        <v>1</v>
      </c>
      <c r="H106" s="17" t="s">
        <v>17</v>
      </c>
      <c r="I106" s="14">
        <v>1</v>
      </c>
      <c r="J106" t="b">
        <f>IF(G106&lt;=I106,TRUE,FALSE)</f>
        <v>1</v>
      </c>
    </row>
    <row r="107" spans="1:10" x14ac:dyDescent="0.55000000000000004">
      <c r="A107" s="36"/>
      <c r="B107" s="1">
        <v>2</v>
      </c>
      <c r="C107" s="1">
        <v>1</v>
      </c>
      <c r="D107" s="11"/>
      <c r="E107" s="1"/>
      <c r="F107" s="1"/>
    </row>
    <row r="108" spans="1:10" x14ac:dyDescent="0.55000000000000004">
      <c r="A108" s="36"/>
      <c r="B108" s="1">
        <v>3</v>
      </c>
      <c r="C108" s="1"/>
      <c r="D108" s="1"/>
      <c r="E108" s="11"/>
      <c r="F108" s="18"/>
    </row>
    <row r="109" spans="1:10" x14ac:dyDescent="0.55000000000000004">
      <c r="A109" s="36"/>
      <c r="B109" s="19">
        <v>4</v>
      </c>
      <c r="C109" s="1"/>
      <c r="D109" s="1"/>
      <c r="E109" s="1"/>
      <c r="F109" s="1"/>
    </row>
    <row r="110" spans="1:10" x14ac:dyDescent="0.55000000000000004">
      <c r="B110" s="14"/>
    </row>
    <row r="111" spans="1:10" x14ac:dyDescent="0.55000000000000004">
      <c r="B111" s="37" t="s">
        <v>16</v>
      </c>
      <c r="C111" s="37"/>
      <c r="D111" s="37"/>
      <c r="E111" s="37"/>
      <c r="F111" s="33"/>
    </row>
    <row r="112" spans="1:10" x14ac:dyDescent="0.55000000000000004">
      <c r="C112" s="38" t="s">
        <v>11</v>
      </c>
      <c r="D112" s="38"/>
      <c r="E112" s="38"/>
      <c r="F112" s="38"/>
    </row>
    <row r="113" spans="1:10" x14ac:dyDescent="0.55000000000000004">
      <c r="C113" s="10">
        <v>1</v>
      </c>
      <c r="D113" s="10">
        <v>2</v>
      </c>
      <c r="E113" s="10">
        <v>3</v>
      </c>
      <c r="F113" s="20">
        <v>4</v>
      </c>
    </row>
    <row r="114" spans="1:10" x14ac:dyDescent="0.55000000000000004">
      <c r="A114" s="36" t="s">
        <v>12</v>
      </c>
      <c r="B114" s="1">
        <v>1</v>
      </c>
      <c r="C114" s="11" t="s">
        <v>14</v>
      </c>
      <c r="D114" s="1"/>
      <c r="E114" s="1">
        <v>1</v>
      </c>
      <c r="F114" s="1"/>
      <c r="G114" s="4">
        <f>SUMPRODUCT(C114:F117,$C$16:$F$19)</f>
        <v>0</v>
      </c>
      <c r="H114" s="17" t="s">
        <v>17</v>
      </c>
      <c r="I114" s="14">
        <v>1</v>
      </c>
      <c r="J114" t="b">
        <f>IF(G114&lt;=I114,TRUE,FALSE)</f>
        <v>1</v>
      </c>
    </row>
    <row r="115" spans="1:10" x14ac:dyDescent="0.55000000000000004">
      <c r="A115" s="36"/>
      <c r="B115" s="1">
        <v>2</v>
      </c>
      <c r="C115" s="1"/>
      <c r="D115" s="11"/>
      <c r="E115" s="1"/>
      <c r="F115" s="1"/>
    </row>
    <row r="116" spans="1:10" x14ac:dyDescent="0.55000000000000004">
      <c r="A116" s="36"/>
      <c r="B116" s="1">
        <v>3</v>
      </c>
      <c r="C116" s="1">
        <v>1</v>
      </c>
      <c r="D116" s="1"/>
      <c r="E116" s="11"/>
      <c r="F116" s="18"/>
    </row>
    <row r="117" spans="1:10" x14ac:dyDescent="0.55000000000000004">
      <c r="A117" s="36"/>
      <c r="B117" s="19">
        <v>4</v>
      </c>
      <c r="C117" s="1"/>
      <c r="D117" s="1"/>
      <c r="E117" s="1"/>
      <c r="F117" s="1"/>
    </row>
    <row r="118" spans="1:10" x14ac:dyDescent="0.55000000000000004">
      <c r="B118" s="14"/>
    </row>
    <row r="119" spans="1:10" x14ac:dyDescent="0.55000000000000004">
      <c r="B119" s="37" t="s">
        <v>16</v>
      </c>
      <c r="C119" s="37"/>
      <c r="D119" s="37"/>
      <c r="E119" s="37"/>
      <c r="F119" s="33"/>
    </row>
    <row r="120" spans="1:10" x14ac:dyDescent="0.55000000000000004">
      <c r="C120" s="38" t="s">
        <v>11</v>
      </c>
      <c r="D120" s="38"/>
      <c r="E120" s="38"/>
      <c r="F120" s="38"/>
    </row>
    <row r="121" spans="1:10" x14ac:dyDescent="0.55000000000000004">
      <c r="C121" s="10">
        <v>1</v>
      </c>
      <c r="D121" s="10">
        <v>2</v>
      </c>
      <c r="E121" s="10">
        <v>3</v>
      </c>
      <c r="F121" s="20">
        <v>4</v>
      </c>
    </row>
    <row r="122" spans="1:10" x14ac:dyDescent="0.55000000000000004">
      <c r="A122" s="36" t="s">
        <v>12</v>
      </c>
      <c r="B122" s="1">
        <v>1</v>
      </c>
      <c r="C122" s="11" t="s">
        <v>14</v>
      </c>
      <c r="D122" s="1"/>
      <c r="E122" s="1"/>
      <c r="F122" s="1">
        <v>1</v>
      </c>
      <c r="G122" s="4">
        <f>SUMPRODUCT(C122:F125,$C$16:$F$19)</f>
        <v>1</v>
      </c>
      <c r="H122" s="17" t="s">
        <v>17</v>
      </c>
      <c r="I122" s="14">
        <v>1</v>
      </c>
      <c r="J122" t="b">
        <f>IF(G122&lt;=I122,TRUE,FALSE)</f>
        <v>1</v>
      </c>
    </row>
    <row r="123" spans="1:10" x14ac:dyDescent="0.55000000000000004">
      <c r="A123" s="36"/>
      <c r="B123" s="1">
        <v>2</v>
      </c>
      <c r="C123" s="1"/>
      <c r="D123" s="11"/>
      <c r="E123" s="1"/>
      <c r="F123" s="1"/>
    </row>
    <row r="124" spans="1:10" x14ac:dyDescent="0.55000000000000004">
      <c r="A124" s="36"/>
      <c r="B124" s="1">
        <v>3</v>
      </c>
      <c r="C124" s="1"/>
      <c r="D124" s="1"/>
      <c r="E124" s="11"/>
      <c r="F124" s="18"/>
    </row>
    <row r="125" spans="1:10" x14ac:dyDescent="0.55000000000000004">
      <c r="A125" s="36"/>
      <c r="B125" s="19">
        <v>4</v>
      </c>
      <c r="C125" s="1">
        <v>1</v>
      </c>
      <c r="D125" s="1"/>
      <c r="E125" s="1"/>
      <c r="F125" s="1"/>
    </row>
    <row r="126" spans="1:10" x14ac:dyDescent="0.55000000000000004">
      <c r="A126" s="12"/>
      <c r="B126" s="14"/>
      <c r="C126" s="4"/>
      <c r="D126" s="4"/>
      <c r="E126" s="4"/>
      <c r="F126" s="4"/>
    </row>
    <row r="127" spans="1:10" x14ac:dyDescent="0.55000000000000004">
      <c r="B127" s="37" t="s">
        <v>16</v>
      </c>
      <c r="C127" s="37"/>
      <c r="D127" s="37"/>
      <c r="E127" s="37"/>
      <c r="F127" s="33"/>
    </row>
    <row r="128" spans="1:10" x14ac:dyDescent="0.55000000000000004">
      <c r="C128" s="38" t="s">
        <v>11</v>
      </c>
      <c r="D128" s="38"/>
      <c r="E128" s="38"/>
      <c r="F128" s="38"/>
    </row>
    <row r="129" spans="1:10" x14ac:dyDescent="0.55000000000000004">
      <c r="C129" s="10">
        <v>1</v>
      </c>
      <c r="D129" s="10">
        <v>2</v>
      </c>
      <c r="E129" s="10">
        <v>3</v>
      </c>
      <c r="F129" s="20">
        <v>4</v>
      </c>
    </row>
    <row r="130" spans="1:10" x14ac:dyDescent="0.55000000000000004">
      <c r="A130" s="36" t="s">
        <v>12</v>
      </c>
      <c r="B130" s="1">
        <v>1</v>
      </c>
      <c r="C130" s="11" t="s">
        <v>14</v>
      </c>
      <c r="D130" s="1"/>
      <c r="E130" s="1"/>
      <c r="F130" s="1"/>
      <c r="G130" s="4">
        <f>SUMPRODUCT(C130:F133,$C$16:$F$19)</f>
        <v>1</v>
      </c>
      <c r="H130" s="17" t="s">
        <v>17</v>
      </c>
      <c r="I130" s="14">
        <v>1</v>
      </c>
      <c r="J130" t="b">
        <f>IF(G130&lt;=I130,TRUE,FALSE)</f>
        <v>1</v>
      </c>
    </row>
    <row r="131" spans="1:10" x14ac:dyDescent="0.55000000000000004">
      <c r="A131" s="36"/>
      <c r="B131" s="1">
        <v>2</v>
      </c>
      <c r="C131" s="1"/>
      <c r="D131" s="11"/>
      <c r="E131" s="1">
        <v>1</v>
      </c>
      <c r="F131" s="1"/>
    </row>
    <row r="132" spans="1:10" x14ac:dyDescent="0.55000000000000004">
      <c r="A132" s="36"/>
      <c r="B132" s="1">
        <v>3</v>
      </c>
      <c r="C132" s="1"/>
      <c r="D132" s="1">
        <v>1</v>
      </c>
      <c r="E132" s="11"/>
      <c r="F132" s="18"/>
    </row>
    <row r="133" spans="1:10" x14ac:dyDescent="0.55000000000000004">
      <c r="A133" s="36"/>
      <c r="B133" s="19">
        <v>4</v>
      </c>
      <c r="C133" s="1"/>
      <c r="D133" s="1"/>
      <c r="E133" s="1"/>
      <c r="F133" s="1"/>
    </row>
    <row r="134" spans="1:10" x14ac:dyDescent="0.55000000000000004">
      <c r="A134" s="12"/>
      <c r="B134" s="14"/>
      <c r="C134" s="4"/>
      <c r="D134" s="4"/>
      <c r="E134" s="4"/>
      <c r="F134" s="4"/>
    </row>
    <row r="135" spans="1:10" x14ac:dyDescent="0.55000000000000004">
      <c r="B135" s="37" t="s">
        <v>16</v>
      </c>
      <c r="C135" s="37"/>
      <c r="D135" s="37"/>
      <c r="E135" s="37"/>
      <c r="F135" s="33"/>
    </row>
    <row r="136" spans="1:10" x14ac:dyDescent="0.55000000000000004">
      <c r="C136" s="38" t="s">
        <v>11</v>
      </c>
      <c r="D136" s="38"/>
      <c r="E136" s="38"/>
      <c r="F136" s="38"/>
    </row>
    <row r="137" spans="1:10" x14ac:dyDescent="0.55000000000000004">
      <c r="C137" s="10">
        <v>1</v>
      </c>
      <c r="D137" s="10">
        <v>2</v>
      </c>
      <c r="E137" s="10">
        <v>3</v>
      </c>
      <c r="F137" s="20">
        <v>4</v>
      </c>
    </row>
    <row r="138" spans="1:10" x14ac:dyDescent="0.55000000000000004">
      <c r="A138" s="36" t="s">
        <v>12</v>
      </c>
      <c r="B138" s="1">
        <v>1</v>
      </c>
      <c r="C138" s="11" t="s">
        <v>14</v>
      </c>
      <c r="D138" s="1"/>
      <c r="E138" s="1"/>
      <c r="F138" s="1"/>
      <c r="G138" s="4">
        <f>SUMPRODUCT(C138:F141,$C$16:$F$19)</f>
        <v>0</v>
      </c>
      <c r="H138" s="17" t="s">
        <v>17</v>
      </c>
      <c r="I138" s="14">
        <v>1</v>
      </c>
      <c r="J138" t="b">
        <f>IF(G138&lt;=I138,TRUE,FALSE)</f>
        <v>1</v>
      </c>
    </row>
    <row r="139" spans="1:10" x14ac:dyDescent="0.55000000000000004">
      <c r="A139" s="36"/>
      <c r="B139" s="1">
        <v>2</v>
      </c>
      <c r="C139" s="1"/>
      <c r="D139" s="11"/>
      <c r="E139" s="1"/>
      <c r="F139" s="1">
        <v>1</v>
      </c>
    </row>
    <row r="140" spans="1:10" x14ac:dyDescent="0.55000000000000004">
      <c r="A140" s="36"/>
      <c r="B140" s="1">
        <v>3</v>
      </c>
      <c r="C140" s="1"/>
      <c r="D140" s="1"/>
      <c r="E140" s="11"/>
      <c r="F140" s="18"/>
    </row>
    <row r="141" spans="1:10" x14ac:dyDescent="0.55000000000000004">
      <c r="A141" s="36"/>
      <c r="B141" s="19">
        <v>4</v>
      </c>
      <c r="C141" s="1"/>
      <c r="D141" s="1">
        <v>1</v>
      </c>
      <c r="E141" s="1"/>
      <c r="F141" s="1"/>
    </row>
    <row r="142" spans="1:10" x14ac:dyDescent="0.55000000000000004">
      <c r="A142" s="12"/>
      <c r="B142" s="14"/>
      <c r="C142" s="4"/>
      <c r="D142" s="4"/>
      <c r="E142" s="4"/>
      <c r="F142" s="4"/>
    </row>
    <row r="143" spans="1:10" x14ac:dyDescent="0.55000000000000004">
      <c r="B143" s="37" t="s">
        <v>16</v>
      </c>
      <c r="C143" s="37"/>
      <c r="D143" s="37"/>
      <c r="E143" s="37"/>
      <c r="F143" s="33"/>
    </row>
    <row r="144" spans="1:10" x14ac:dyDescent="0.55000000000000004">
      <c r="C144" s="38" t="s">
        <v>11</v>
      </c>
      <c r="D144" s="38"/>
      <c r="E144" s="38"/>
      <c r="F144" s="38"/>
    </row>
    <row r="145" spans="1:10" x14ac:dyDescent="0.55000000000000004">
      <c r="C145" s="10">
        <v>1</v>
      </c>
      <c r="D145" s="10">
        <v>2</v>
      </c>
      <c r="E145" s="10">
        <v>3</v>
      </c>
      <c r="F145" s="20">
        <v>4</v>
      </c>
    </row>
    <row r="146" spans="1:10" x14ac:dyDescent="0.55000000000000004">
      <c r="A146" s="36" t="s">
        <v>12</v>
      </c>
      <c r="B146" s="1">
        <v>1</v>
      </c>
      <c r="C146" s="11" t="s">
        <v>14</v>
      </c>
      <c r="D146" s="1"/>
      <c r="E146" s="1"/>
      <c r="F146" s="1"/>
      <c r="G146" s="4">
        <f>SUMPRODUCT(C146:F149,$C$16:$F$19)</f>
        <v>1</v>
      </c>
      <c r="H146" s="17" t="s">
        <v>17</v>
      </c>
      <c r="I146" s="14">
        <v>1</v>
      </c>
      <c r="J146" t="b">
        <f>IF(G146&lt;=I146,TRUE,FALSE)</f>
        <v>1</v>
      </c>
    </row>
    <row r="147" spans="1:10" x14ac:dyDescent="0.55000000000000004">
      <c r="A147" s="36"/>
      <c r="B147" s="1">
        <v>2</v>
      </c>
      <c r="C147" s="1"/>
      <c r="D147" s="11"/>
      <c r="E147" s="1"/>
      <c r="F147" s="1"/>
    </row>
    <row r="148" spans="1:10" x14ac:dyDescent="0.55000000000000004">
      <c r="A148" s="36"/>
      <c r="B148" s="1">
        <v>3</v>
      </c>
      <c r="C148" s="1"/>
      <c r="D148" s="1"/>
      <c r="E148" s="11"/>
      <c r="F148" s="18">
        <v>1</v>
      </c>
    </row>
    <row r="149" spans="1:10" x14ac:dyDescent="0.55000000000000004">
      <c r="A149" s="36"/>
      <c r="B149" s="19">
        <v>4</v>
      </c>
      <c r="C149" s="1"/>
      <c r="D149" s="1"/>
      <c r="E149" s="1">
        <v>1</v>
      </c>
      <c r="F149" s="1"/>
    </row>
    <row r="150" spans="1:10" x14ac:dyDescent="0.55000000000000004">
      <c r="A150" s="12"/>
      <c r="B150" s="14"/>
      <c r="C150" s="4"/>
      <c r="D150" s="4"/>
      <c r="E150" s="4"/>
      <c r="F150" s="4"/>
    </row>
    <row r="151" spans="1:10" x14ac:dyDescent="0.55000000000000004">
      <c r="A151" s="12"/>
      <c r="B151" s="14"/>
      <c r="C151" s="4"/>
      <c r="D151" s="4"/>
      <c r="E151" s="4"/>
      <c r="F151" s="4"/>
    </row>
    <row r="152" spans="1:10" x14ac:dyDescent="0.55000000000000004">
      <c r="A152" s="12"/>
      <c r="B152" s="14"/>
      <c r="C152" s="4" t="s">
        <v>26</v>
      </c>
      <c r="D152" s="4"/>
      <c r="E152" s="4"/>
      <c r="F152" s="4"/>
    </row>
    <row r="153" spans="1:10" x14ac:dyDescent="0.55000000000000004">
      <c r="C153" s="1">
        <f>C20</f>
        <v>1</v>
      </c>
      <c r="D153" s="1">
        <f t="shared" ref="D153:F153" si="4">D20</f>
        <v>1</v>
      </c>
      <c r="E153" s="1">
        <f t="shared" si="4"/>
        <v>1</v>
      </c>
      <c r="F153" s="1">
        <f t="shared" si="4"/>
        <v>1</v>
      </c>
    </row>
    <row r="154" spans="1:10" x14ac:dyDescent="0.55000000000000004">
      <c r="C154" s="34" t="s">
        <v>15</v>
      </c>
      <c r="D154" s="34" t="s">
        <v>15</v>
      </c>
      <c r="E154" s="34" t="s">
        <v>15</v>
      </c>
      <c r="F154" s="34" t="s">
        <v>15</v>
      </c>
    </row>
    <row r="155" spans="1:10" x14ac:dyDescent="0.55000000000000004">
      <c r="C155" s="1">
        <v>1</v>
      </c>
      <c r="D155" s="1">
        <v>1</v>
      </c>
      <c r="E155" s="1">
        <v>1</v>
      </c>
      <c r="F155" s="1">
        <v>1</v>
      </c>
    </row>
    <row r="156" spans="1:10" x14ac:dyDescent="0.55000000000000004">
      <c r="C156" s="4"/>
      <c r="D156" s="4"/>
      <c r="E156" s="4"/>
      <c r="F156" s="4"/>
    </row>
    <row r="157" spans="1:10" x14ac:dyDescent="0.55000000000000004">
      <c r="C157" t="s">
        <v>27</v>
      </c>
    </row>
    <row r="158" spans="1:10" x14ac:dyDescent="0.55000000000000004">
      <c r="C158" s="1">
        <f>G16</f>
        <v>1</v>
      </c>
      <c r="D158" s="34" t="s">
        <v>15</v>
      </c>
      <c r="E158" s="1">
        <v>1</v>
      </c>
    </row>
    <row r="159" spans="1:10" x14ac:dyDescent="0.55000000000000004">
      <c r="C159" s="1">
        <f>G17</f>
        <v>1</v>
      </c>
      <c r="D159" s="34" t="s">
        <v>15</v>
      </c>
      <c r="E159" s="1">
        <v>1</v>
      </c>
    </row>
    <row r="160" spans="1:10" x14ac:dyDescent="0.55000000000000004">
      <c r="C160" s="1">
        <f>G18</f>
        <v>1</v>
      </c>
      <c r="D160" s="34" t="s">
        <v>15</v>
      </c>
      <c r="E160" s="1">
        <v>1</v>
      </c>
    </row>
    <row r="161" spans="3:5" x14ac:dyDescent="0.55000000000000004">
      <c r="C161" s="1">
        <f>G19</f>
        <v>1</v>
      </c>
      <c r="D161" s="34" t="s">
        <v>15</v>
      </c>
      <c r="E161" s="1">
        <v>1</v>
      </c>
    </row>
  </sheetData>
  <mergeCells count="55">
    <mergeCell ref="A146:A149"/>
    <mergeCell ref="A130:A133"/>
    <mergeCell ref="B135:E135"/>
    <mergeCell ref="C136:F136"/>
    <mergeCell ref="A138:A141"/>
    <mergeCell ref="B143:E143"/>
    <mergeCell ref="C144:F144"/>
    <mergeCell ref="A114:A117"/>
    <mergeCell ref="B119:E119"/>
    <mergeCell ref="C120:F120"/>
    <mergeCell ref="A122:A125"/>
    <mergeCell ref="B127:E127"/>
    <mergeCell ref="C128:F128"/>
    <mergeCell ref="A98:A101"/>
    <mergeCell ref="B103:E103"/>
    <mergeCell ref="C104:F104"/>
    <mergeCell ref="A106:A109"/>
    <mergeCell ref="B111:E111"/>
    <mergeCell ref="C112:F112"/>
    <mergeCell ref="A82:A85"/>
    <mergeCell ref="B87:E87"/>
    <mergeCell ref="C88:F88"/>
    <mergeCell ref="A90:A93"/>
    <mergeCell ref="B95:E95"/>
    <mergeCell ref="C96:F96"/>
    <mergeCell ref="A66:A69"/>
    <mergeCell ref="B71:E71"/>
    <mergeCell ref="C72:F72"/>
    <mergeCell ref="A74:A77"/>
    <mergeCell ref="B79:E79"/>
    <mergeCell ref="C80:F80"/>
    <mergeCell ref="A50:A53"/>
    <mergeCell ref="B55:E55"/>
    <mergeCell ref="C56:F56"/>
    <mergeCell ref="A58:A61"/>
    <mergeCell ref="B63:E63"/>
    <mergeCell ref="C64:F64"/>
    <mergeCell ref="A34:A37"/>
    <mergeCell ref="B39:E39"/>
    <mergeCell ref="C40:F40"/>
    <mergeCell ref="A42:A45"/>
    <mergeCell ref="B47:E47"/>
    <mergeCell ref="C48:F48"/>
    <mergeCell ref="A16:A19"/>
    <mergeCell ref="A23:A24"/>
    <mergeCell ref="C23:F23"/>
    <mergeCell ref="A25:A28"/>
    <mergeCell ref="B31:E31"/>
    <mergeCell ref="C32:F32"/>
    <mergeCell ref="D1:O3"/>
    <mergeCell ref="A6:B6"/>
    <mergeCell ref="C6:F6"/>
    <mergeCell ref="A8:A11"/>
    <mergeCell ref="A14:A15"/>
    <mergeCell ref="C14:F14"/>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61"/>
  <sheetViews>
    <sheetView zoomScale="120" zoomScaleNormal="120" workbookViewId="0">
      <selection activeCell="F17" sqref="F17"/>
    </sheetView>
  </sheetViews>
  <sheetFormatPr defaultRowHeight="15.3" x14ac:dyDescent="0.55000000000000004"/>
  <cols>
    <col min="1" max="1" width="17.59765625" customWidth="1"/>
    <col min="2" max="2" width="8.75" customWidth="1"/>
    <col min="5" max="6" width="10.25" customWidth="1"/>
    <col min="7" max="7" width="5" customWidth="1"/>
    <col min="8" max="8" width="6.84765625" customWidth="1"/>
    <col min="9" max="9" width="4.5" customWidth="1"/>
    <col min="12" max="12" width="11.59765625" customWidth="1"/>
  </cols>
  <sheetData>
    <row r="1" spans="1:15" ht="31.5" customHeight="1" x14ac:dyDescent="0.55000000000000004">
      <c r="A1" s="32" t="s">
        <v>0</v>
      </c>
      <c r="B1" s="1">
        <f>SUMPRODUCT(C8:F11,C16:F19)</f>
        <v>29.5</v>
      </c>
      <c r="D1" s="41" t="s">
        <v>18</v>
      </c>
      <c r="E1" s="41"/>
      <c r="F1" s="41"/>
      <c r="G1" s="41"/>
      <c r="H1" s="41"/>
      <c r="I1" s="41"/>
      <c r="J1" s="41"/>
      <c r="K1" s="41"/>
      <c r="L1" s="41"/>
      <c r="M1" s="41"/>
      <c r="N1" s="41"/>
      <c r="O1" s="41"/>
    </row>
    <row r="2" spans="1:15" ht="23.25" customHeight="1" x14ac:dyDescent="0.55000000000000004">
      <c r="A2" s="32" t="s">
        <v>3</v>
      </c>
      <c r="B2" s="1">
        <f>CEILING(B1,1)</f>
        <v>30</v>
      </c>
      <c r="D2" s="41"/>
      <c r="E2" s="41"/>
      <c r="F2" s="41"/>
      <c r="G2" s="41"/>
      <c r="H2" s="41"/>
      <c r="I2" s="41"/>
      <c r="J2" s="41"/>
      <c r="K2" s="41"/>
      <c r="L2" s="41"/>
      <c r="M2" s="41"/>
      <c r="N2" s="41"/>
      <c r="O2" s="41"/>
    </row>
    <row r="3" spans="1:15" ht="23.25" customHeight="1" x14ac:dyDescent="0.55000000000000004">
      <c r="A3" s="32" t="s">
        <v>23</v>
      </c>
      <c r="B3" s="1" t="b">
        <f>IF(AND(D25,E25,E26,C26,C27,D27,F25,F26,F27,C28,D28,E28),TRUE,FALSE)</f>
        <v>1</v>
      </c>
      <c r="D3" s="41"/>
      <c r="E3" s="41"/>
      <c r="F3" s="41"/>
      <c r="G3" s="41"/>
      <c r="H3" s="41"/>
      <c r="I3" s="41"/>
      <c r="J3" s="41"/>
      <c r="K3" s="41"/>
      <c r="L3" s="41"/>
      <c r="M3" s="41"/>
      <c r="N3" s="41"/>
      <c r="O3" s="41"/>
    </row>
    <row r="4" spans="1:15" ht="23.25" customHeight="1" x14ac:dyDescent="0.55000000000000004">
      <c r="A4" s="32" t="s">
        <v>22</v>
      </c>
      <c r="B4" s="1" t="b">
        <f>AND(H16:H19,C21:F21,J34,J42,J50,J58,J66,J74,J82,J90,J98,J106,J114,J122,J130,J138,J146)</f>
        <v>0</v>
      </c>
      <c r="D4" s="27"/>
      <c r="E4" s="27"/>
      <c r="F4" s="27"/>
      <c r="G4" s="27"/>
      <c r="H4" s="27"/>
      <c r="I4" s="27"/>
      <c r="J4" s="27"/>
      <c r="K4" s="27"/>
      <c r="L4" s="27"/>
      <c r="M4" s="27"/>
      <c r="N4" s="27"/>
      <c r="O4" s="27"/>
    </row>
    <row r="5" spans="1:15" x14ac:dyDescent="0.55000000000000004">
      <c r="A5" s="3"/>
      <c r="B5" s="4"/>
    </row>
    <row r="6" spans="1:15" ht="31.5" customHeight="1" x14ac:dyDescent="0.55000000000000004">
      <c r="A6" s="42" t="s">
        <v>21</v>
      </c>
      <c r="B6" s="42"/>
      <c r="C6" s="38" t="s">
        <v>11</v>
      </c>
      <c r="D6" s="38"/>
      <c r="E6" s="38"/>
      <c r="F6" s="38"/>
    </row>
    <row r="7" spans="1:15" x14ac:dyDescent="0.55000000000000004">
      <c r="A7" s="4"/>
      <c r="B7" s="35"/>
      <c r="C7" s="6">
        <v>1</v>
      </c>
      <c r="D7" s="6">
        <v>2</v>
      </c>
      <c r="E7" s="6">
        <v>3</v>
      </c>
      <c r="F7" s="6">
        <v>4</v>
      </c>
    </row>
    <row r="8" spans="1:15" x14ac:dyDescent="0.55000000000000004">
      <c r="A8" s="36" t="s">
        <v>12</v>
      </c>
      <c r="B8" s="5">
        <v>1</v>
      </c>
      <c r="C8" s="11"/>
      <c r="D8" s="6">
        <v>9.5</v>
      </c>
      <c r="E8" s="6">
        <v>12</v>
      </c>
      <c r="F8" s="6">
        <v>10</v>
      </c>
    </row>
    <row r="9" spans="1:15" x14ac:dyDescent="0.55000000000000004">
      <c r="A9" s="36"/>
      <c r="B9" s="5">
        <v>2</v>
      </c>
      <c r="C9" s="6">
        <v>6</v>
      </c>
      <c r="D9" s="11"/>
      <c r="E9" s="6">
        <v>10</v>
      </c>
      <c r="F9" s="6">
        <v>14</v>
      </c>
    </row>
    <row r="10" spans="1:15" x14ac:dyDescent="0.55000000000000004">
      <c r="A10" s="36"/>
      <c r="B10" s="5">
        <v>3</v>
      </c>
      <c r="C10" s="6">
        <v>10</v>
      </c>
      <c r="D10" s="6">
        <v>11</v>
      </c>
      <c r="E10" s="11"/>
      <c r="F10" s="6">
        <v>12</v>
      </c>
    </row>
    <row r="11" spans="1:15" x14ac:dyDescent="0.55000000000000004">
      <c r="A11" s="36"/>
      <c r="B11" s="5">
        <v>4</v>
      </c>
      <c r="C11" s="6">
        <v>7</v>
      </c>
      <c r="D11" s="6">
        <v>8</v>
      </c>
      <c r="E11" s="6">
        <v>15</v>
      </c>
      <c r="F11" s="11"/>
    </row>
    <row r="12" spans="1:15" x14ac:dyDescent="0.55000000000000004">
      <c r="A12" s="3"/>
      <c r="B12" s="4"/>
    </row>
    <row r="13" spans="1:15" x14ac:dyDescent="0.55000000000000004">
      <c r="A13" s="7" t="s">
        <v>4</v>
      </c>
    </row>
    <row r="14" spans="1:15" x14ac:dyDescent="0.55000000000000004">
      <c r="A14" s="39" t="s">
        <v>1</v>
      </c>
      <c r="C14" s="38" t="s">
        <v>11</v>
      </c>
      <c r="D14" s="38"/>
      <c r="E14" s="38"/>
      <c r="F14" s="38"/>
    </row>
    <row r="15" spans="1:15" x14ac:dyDescent="0.55000000000000004">
      <c r="A15" s="40"/>
      <c r="C15" s="24">
        <v>1</v>
      </c>
      <c r="D15" s="24">
        <v>2</v>
      </c>
      <c r="E15" s="24">
        <v>3</v>
      </c>
      <c r="F15" s="25">
        <v>4</v>
      </c>
    </row>
    <row r="16" spans="1:15" x14ac:dyDescent="0.55000000000000004">
      <c r="A16" s="36" t="s">
        <v>12</v>
      </c>
      <c r="B16" s="22">
        <v>1</v>
      </c>
      <c r="C16" s="11">
        <v>0</v>
      </c>
      <c r="D16" s="43">
        <v>1</v>
      </c>
      <c r="E16" s="43">
        <v>0</v>
      </c>
      <c r="F16" s="43">
        <v>1</v>
      </c>
      <c r="G16" s="28">
        <f>SUM(C16:F16)</f>
        <v>2</v>
      </c>
      <c r="H16" s="1" t="b">
        <f>IF(G16=1,TRUE,FALSE)</f>
        <v>0</v>
      </c>
    </row>
    <row r="17" spans="1:9" x14ac:dyDescent="0.55000000000000004">
      <c r="A17" s="36"/>
      <c r="B17" s="22">
        <v>2</v>
      </c>
      <c r="C17" s="1">
        <v>0</v>
      </c>
      <c r="D17" s="11">
        <v>0</v>
      </c>
      <c r="E17" s="1">
        <v>1</v>
      </c>
      <c r="F17" s="1">
        <v>0</v>
      </c>
      <c r="G17" s="28">
        <f t="shared" ref="G17:G19" si="0">SUM(C17:F17)</f>
        <v>1</v>
      </c>
      <c r="H17" s="1" t="b">
        <f t="shared" ref="H17:H19" si="1">IF(G17=1,TRUE,FALSE)</f>
        <v>1</v>
      </c>
    </row>
    <row r="18" spans="1:9" x14ac:dyDescent="0.55000000000000004">
      <c r="A18" s="36"/>
      <c r="B18" s="22">
        <v>3</v>
      </c>
      <c r="C18" s="1">
        <v>0</v>
      </c>
      <c r="D18" s="1">
        <v>0</v>
      </c>
      <c r="E18" s="11">
        <v>0</v>
      </c>
      <c r="F18" s="18">
        <v>0</v>
      </c>
      <c r="G18" s="28">
        <f t="shared" si="0"/>
        <v>0</v>
      </c>
      <c r="H18" s="1" t="b">
        <f t="shared" si="1"/>
        <v>0</v>
      </c>
    </row>
    <row r="19" spans="1:9" x14ac:dyDescent="0.55000000000000004">
      <c r="A19" s="36"/>
      <c r="B19" s="23">
        <v>4</v>
      </c>
      <c r="C19" s="1">
        <v>0</v>
      </c>
      <c r="D19" s="1">
        <v>0</v>
      </c>
      <c r="E19" s="18">
        <v>0</v>
      </c>
      <c r="F19" s="11">
        <v>0</v>
      </c>
      <c r="G19" s="28">
        <f t="shared" si="0"/>
        <v>0</v>
      </c>
      <c r="H19" s="1" t="b">
        <f t="shared" si="1"/>
        <v>0</v>
      </c>
    </row>
    <row r="20" spans="1:9" x14ac:dyDescent="0.55000000000000004">
      <c r="A20" s="12"/>
      <c r="B20" s="4"/>
      <c r="C20" s="29">
        <f>SUM(C16:C19)</f>
        <v>0</v>
      </c>
      <c r="D20" s="29">
        <f t="shared" ref="D20:F20" si="2">SUM(D16:D19)</f>
        <v>1</v>
      </c>
      <c r="E20" s="29">
        <f t="shared" si="2"/>
        <v>1</v>
      </c>
      <c r="F20" s="29">
        <f t="shared" si="2"/>
        <v>1</v>
      </c>
    </row>
    <row r="21" spans="1:9" x14ac:dyDescent="0.55000000000000004">
      <c r="A21" s="12"/>
      <c r="B21" s="4"/>
      <c r="C21" s="1" t="b">
        <f>IF(C20=1,TRUE,FALSE)</f>
        <v>0</v>
      </c>
      <c r="D21" s="1" t="b">
        <f t="shared" ref="D21:F21" si="3">IF(D20=1,TRUE,FALSE)</f>
        <v>1</v>
      </c>
      <c r="E21" s="1" t="b">
        <f t="shared" si="3"/>
        <v>1</v>
      </c>
      <c r="F21" s="1" t="b">
        <f t="shared" si="3"/>
        <v>1</v>
      </c>
    </row>
    <row r="22" spans="1:9" x14ac:dyDescent="0.55000000000000004">
      <c r="A22" s="12"/>
      <c r="B22" s="4"/>
      <c r="C22" s="4"/>
      <c r="D22" s="4"/>
      <c r="E22" s="15"/>
      <c r="F22" s="15"/>
    </row>
    <row r="23" spans="1:9" x14ac:dyDescent="0.55000000000000004">
      <c r="A23" s="39" t="s">
        <v>13</v>
      </c>
      <c r="C23" s="38" t="s">
        <v>11</v>
      </c>
      <c r="D23" s="38"/>
      <c r="E23" s="38"/>
      <c r="F23" s="38"/>
    </row>
    <row r="24" spans="1:9" x14ac:dyDescent="0.55000000000000004">
      <c r="A24" s="40"/>
      <c r="C24" s="24">
        <v>1</v>
      </c>
      <c r="D24" s="24">
        <v>2</v>
      </c>
      <c r="E24" s="24">
        <v>3</v>
      </c>
      <c r="F24" s="25">
        <v>4</v>
      </c>
    </row>
    <row r="25" spans="1:9" x14ac:dyDescent="0.55000000000000004">
      <c r="A25" s="36" t="s">
        <v>12</v>
      </c>
      <c r="B25" s="1">
        <v>1</v>
      </c>
      <c r="C25" s="11"/>
      <c r="D25" s="1" t="b">
        <f>IF(D16=FLOOR(D16,1),TRUE,FALSE)</f>
        <v>1</v>
      </c>
      <c r="E25" s="1" t="b">
        <f>IF(E16=FLOOR(E16,1),TRUE,FALSE)</f>
        <v>1</v>
      </c>
      <c r="F25" s="1" t="b">
        <f>IF(F16=FLOOR(F16,1),TRUE,FALSE)</f>
        <v>1</v>
      </c>
    </row>
    <row r="26" spans="1:9" x14ac:dyDescent="0.55000000000000004">
      <c r="A26" s="36"/>
      <c r="B26" s="1">
        <v>2</v>
      </c>
      <c r="C26" s="1" t="b">
        <f>IF(C17=FLOOR(C17,1),TRUE,FALSE)</f>
        <v>1</v>
      </c>
      <c r="D26" s="11"/>
      <c r="E26" s="1" t="b">
        <f>IF(E17=FLOOR(E17,1),TRUE,FALSE)</f>
        <v>1</v>
      </c>
      <c r="F26" s="1" t="b">
        <f>IF(F17=FLOOR(F17,1),TRUE,FALSE)</f>
        <v>1</v>
      </c>
    </row>
    <row r="27" spans="1:9" x14ac:dyDescent="0.55000000000000004">
      <c r="A27" s="36"/>
      <c r="B27" s="1">
        <v>3</v>
      </c>
      <c r="C27" s="1" t="b">
        <f>IF(C18=FLOOR(C18,1),TRUE,FALSE)</f>
        <v>1</v>
      </c>
      <c r="D27" s="1" t="b">
        <f>IF(D18=FLOOR(D18,1),TRUE,FALSE)</f>
        <v>1</v>
      </c>
      <c r="E27" s="11"/>
      <c r="F27" s="1" t="b">
        <f>IF(F18=FLOOR(F18,1),TRUE,FALSE)</f>
        <v>1</v>
      </c>
    </row>
    <row r="28" spans="1:9" ht="15.6" customHeight="1" x14ac:dyDescent="0.55000000000000004">
      <c r="A28" s="36"/>
      <c r="B28" s="19">
        <v>4</v>
      </c>
      <c r="C28" s="1" t="b">
        <f>IF(C19=FLOOR(C19,1),TRUE,FALSE)</f>
        <v>1</v>
      </c>
      <c r="D28" s="1" t="b">
        <f>IF(D19=FLOOR(D19,1),TRUE,FALSE)</f>
        <v>1</v>
      </c>
      <c r="E28" s="1" t="b">
        <f>IF(E19=FLOOR(E19,1),TRUE,FALSE)</f>
        <v>1</v>
      </c>
      <c r="F28" s="11"/>
    </row>
    <row r="29" spans="1:9" x14ac:dyDescent="0.55000000000000004">
      <c r="A29" s="3"/>
      <c r="B29" s="4"/>
      <c r="C29" s="4"/>
      <c r="D29" s="4"/>
    </row>
    <row r="31" spans="1:9" x14ac:dyDescent="0.55000000000000004">
      <c r="A31" t="s">
        <v>2</v>
      </c>
      <c r="B31" s="37" t="s">
        <v>20</v>
      </c>
      <c r="C31" s="37"/>
      <c r="D31" s="37"/>
      <c r="E31" s="37"/>
      <c r="F31" s="33"/>
      <c r="G31" s="13"/>
      <c r="H31" s="13"/>
      <c r="I31" s="4"/>
    </row>
    <row r="32" spans="1:9" x14ac:dyDescent="0.55000000000000004">
      <c r="C32" s="38" t="s">
        <v>11</v>
      </c>
      <c r="D32" s="38"/>
      <c r="E32" s="38"/>
      <c r="F32" s="38"/>
      <c r="G32" s="4"/>
      <c r="H32" s="4"/>
      <c r="I32" s="4"/>
    </row>
    <row r="33" spans="1:10" x14ac:dyDescent="0.55000000000000004">
      <c r="C33" s="10">
        <v>1</v>
      </c>
      <c r="D33" s="10">
        <v>2</v>
      </c>
      <c r="E33" s="10">
        <v>3</v>
      </c>
      <c r="F33" s="20">
        <v>4</v>
      </c>
      <c r="G33" s="4"/>
      <c r="H33" s="4"/>
      <c r="I33" s="4"/>
    </row>
    <row r="34" spans="1:10" x14ac:dyDescent="0.55000000000000004">
      <c r="A34" s="36" t="s">
        <v>12</v>
      </c>
      <c r="B34" s="1">
        <v>1</v>
      </c>
      <c r="C34" s="11" t="s">
        <v>14</v>
      </c>
      <c r="D34" s="1">
        <v>1</v>
      </c>
      <c r="E34" s="1">
        <v>1</v>
      </c>
      <c r="F34" s="1">
        <v>1</v>
      </c>
      <c r="G34" s="4">
        <f>SUMPRODUCT(C34:F37,$C$16:$F$19)</f>
        <v>3</v>
      </c>
      <c r="H34" s="4" t="s">
        <v>15</v>
      </c>
      <c r="I34" s="14">
        <v>4</v>
      </c>
      <c r="J34" t="b">
        <f>IF(G34=I34,TRUE,FALSE)</f>
        <v>0</v>
      </c>
    </row>
    <row r="35" spans="1:10" x14ac:dyDescent="0.55000000000000004">
      <c r="A35" s="36"/>
      <c r="B35" s="1">
        <v>2</v>
      </c>
      <c r="C35" s="1">
        <v>1</v>
      </c>
      <c r="D35" s="11"/>
      <c r="E35" s="1">
        <v>1</v>
      </c>
      <c r="F35" s="1">
        <v>1</v>
      </c>
      <c r="G35" s="4"/>
      <c r="H35" s="4"/>
      <c r="I35" s="4"/>
    </row>
    <row r="36" spans="1:10" x14ac:dyDescent="0.55000000000000004">
      <c r="A36" s="36"/>
      <c r="B36" s="1">
        <v>3</v>
      </c>
      <c r="C36" s="1">
        <v>1</v>
      </c>
      <c r="D36" s="1">
        <v>1</v>
      </c>
      <c r="E36" s="11"/>
      <c r="F36" s="1">
        <v>1</v>
      </c>
      <c r="G36" s="14"/>
      <c r="H36" s="14"/>
      <c r="I36" s="4"/>
    </row>
    <row r="37" spans="1:10" x14ac:dyDescent="0.55000000000000004">
      <c r="A37" s="36"/>
      <c r="B37" s="19">
        <v>4</v>
      </c>
      <c r="C37" s="1">
        <v>1</v>
      </c>
      <c r="D37" s="1">
        <v>1</v>
      </c>
      <c r="E37" s="11"/>
      <c r="F37" s="1">
        <v>1</v>
      </c>
      <c r="G37" s="14"/>
      <c r="H37" s="14"/>
      <c r="I37" s="4"/>
    </row>
    <row r="38" spans="1:10" x14ac:dyDescent="0.55000000000000004">
      <c r="B38" s="4"/>
      <c r="C38" s="4"/>
      <c r="D38" s="4"/>
      <c r="E38" s="4"/>
      <c r="F38" s="4"/>
      <c r="G38" s="14"/>
      <c r="H38" s="14"/>
      <c r="I38" s="4"/>
    </row>
    <row r="39" spans="1:10" x14ac:dyDescent="0.55000000000000004">
      <c r="B39" s="37" t="s">
        <v>19</v>
      </c>
      <c r="C39" s="37"/>
      <c r="D39" s="37"/>
      <c r="E39" s="37"/>
      <c r="F39" s="33"/>
      <c r="G39" s="14"/>
      <c r="H39" s="14"/>
      <c r="I39" s="4"/>
    </row>
    <row r="40" spans="1:10" x14ac:dyDescent="0.55000000000000004">
      <c r="C40" s="38" t="s">
        <v>11</v>
      </c>
      <c r="D40" s="38"/>
      <c r="E40" s="38"/>
      <c r="F40" s="38"/>
      <c r="G40" s="14"/>
      <c r="H40" s="14"/>
      <c r="I40" s="4"/>
    </row>
    <row r="41" spans="1:10" x14ac:dyDescent="0.55000000000000004">
      <c r="C41" s="10">
        <v>1</v>
      </c>
      <c r="D41" s="10">
        <v>2</v>
      </c>
      <c r="E41" s="10">
        <v>3</v>
      </c>
      <c r="F41" s="20">
        <v>4</v>
      </c>
    </row>
    <row r="42" spans="1:10" x14ac:dyDescent="0.55000000000000004">
      <c r="A42" s="36" t="s">
        <v>12</v>
      </c>
      <c r="B42" s="1">
        <v>1</v>
      </c>
      <c r="C42" s="11"/>
      <c r="D42" s="1">
        <v>1</v>
      </c>
      <c r="E42" s="1"/>
      <c r="F42" s="1"/>
      <c r="G42" s="4">
        <f>SUMPRODUCT(C42:F45,$C$16:$F$19)</f>
        <v>2</v>
      </c>
      <c r="H42" s="17" t="s">
        <v>17</v>
      </c>
      <c r="I42" s="14">
        <v>2</v>
      </c>
      <c r="J42" t="b">
        <f>IF(G42&lt;=I42,TRUE,FALSE)</f>
        <v>1</v>
      </c>
    </row>
    <row r="43" spans="1:10" x14ac:dyDescent="0.55000000000000004">
      <c r="A43" s="36"/>
      <c r="B43" s="1">
        <v>2</v>
      </c>
      <c r="C43" s="1"/>
      <c r="D43" s="11"/>
      <c r="E43" s="1">
        <v>1</v>
      </c>
      <c r="F43" s="1"/>
    </row>
    <row r="44" spans="1:10" x14ac:dyDescent="0.55000000000000004">
      <c r="A44" s="36"/>
      <c r="B44" s="1">
        <v>3</v>
      </c>
      <c r="C44" s="1">
        <v>1</v>
      </c>
      <c r="D44" s="1"/>
      <c r="E44" s="11"/>
      <c r="F44" s="18"/>
    </row>
    <row r="45" spans="1:10" x14ac:dyDescent="0.55000000000000004">
      <c r="A45" s="36"/>
      <c r="B45" s="19">
        <v>4</v>
      </c>
      <c r="C45" s="1"/>
      <c r="D45" s="1"/>
      <c r="E45" s="18"/>
      <c r="F45" s="11"/>
    </row>
    <row r="47" spans="1:10" x14ac:dyDescent="0.55000000000000004">
      <c r="B47" s="37" t="s">
        <v>19</v>
      </c>
      <c r="C47" s="37"/>
      <c r="D47" s="37"/>
      <c r="E47" s="37"/>
      <c r="F47" s="33"/>
    </row>
    <row r="48" spans="1:10" x14ac:dyDescent="0.55000000000000004">
      <c r="C48" s="38" t="s">
        <v>11</v>
      </c>
      <c r="D48" s="38"/>
      <c r="E48" s="38"/>
      <c r="F48" s="38"/>
    </row>
    <row r="49" spans="1:10" x14ac:dyDescent="0.55000000000000004">
      <c r="C49" s="10">
        <v>1</v>
      </c>
      <c r="D49" s="10">
        <v>2</v>
      </c>
      <c r="E49" s="10">
        <v>3</v>
      </c>
      <c r="F49" s="20">
        <v>4</v>
      </c>
    </row>
    <row r="50" spans="1:10" x14ac:dyDescent="0.55000000000000004">
      <c r="A50" s="36" t="s">
        <v>12</v>
      </c>
      <c r="B50" s="1">
        <v>1</v>
      </c>
      <c r="C50" s="11" t="s">
        <v>14</v>
      </c>
      <c r="D50" s="1">
        <v>1</v>
      </c>
      <c r="E50" s="1"/>
      <c r="F50" s="1"/>
      <c r="G50" s="4">
        <f>SUMPRODUCT(C50:F53,$C$16:$F$19)</f>
        <v>1</v>
      </c>
      <c r="H50" s="17" t="s">
        <v>17</v>
      </c>
      <c r="I50" s="14">
        <v>2</v>
      </c>
      <c r="J50" t="b">
        <f>IF(G50&lt;=I50,TRUE,FALSE)</f>
        <v>1</v>
      </c>
    </row>
    <row r="51" spans="1:10" x14ac:dyDescent="0.55000000000000004">
      <c r="A51" s="36"/>
      <c r="B51" s="1">
        <v>2</v>
      </c>
      <c r="C51" s="1"/>
      <c r="D51" s="11"/>
      <c r="E51" s="1"/>
      <c r="F51" s="1">
        <v>1</v>
      </c>
    </row>
    <row r="52" spans="1:10" x14ac:dyDescent="0.55000000000000004">
      <c r="A52" s="36"/>
      <c r="B52" s="1">
        <v>3</v>
      </c>
      <c r="C52" s="1"/>
      <c r="D52" s="1"/>
      <c r="E52" s="11"/>
      <c r="F52" s="18"/>
    </row>
    <row r="53" spans="1:10" x14ac:dyDescent="0.55000000000000004">
      <c r="A53" s="36"/>
      <c r="B53" s="19">
        <v>4</v>
      </c>
      <c r="C53" s="1">
        <v>1</v>
      </c>
      <c r="D53" s="1"/>
      <c r="E53" s="18"/>
      <c r="F53" s="11"/>
    </row>
    <row r="55" spans="1:10" x14ac:dyDescent="0.55000000000000004">
      <c r="B55" s="37" t="s">
        <v>19</v>
      </c>
      <c r="C55" s="37"/>
      <c r="D55" s="37"/>
      <c r="E55" s="37"/>
      <c r="F55" s="33"/>
    </row>
    <row r="56" spans="1:10" x14ac:dyDescent="0.55000000000000004">
      <c r="C56" s="38" t="s">
        <v>11</v>
      </c>
      <c r="D56" s="38"/>
      <c r="E56" s="38"/>
      <c r="F56" s="38"/>
    </row>
    <row r="57" spans="1:10" x14ac:dyDescent="0.55000000000000004">
      <c r="C57" s="10">
        <v>1</v>
      </c>
      <c r="D57" s="10">
        <v>2</v>
      </c>
      <c r="E57" s="10">
        <v>3</v>
      </c>
      <c r="F57" s="20">
        <v>4</v>
      </c>
    </row>
    <row r="58" spans="1:10" x14ac:dyDescent="0.55000000000000004">
      <c r="A58" s="36" t="s">
        <v>12</v>
      </c>
      <c r="B58" s="1">
        <v>1</v>
      </c>
      <c r="C58" s="11" t="s">
        <v>14</v>
      </c>
      <c r="D58" s="1"/>
      <c r="E58" s="1">
        <v>1</v>
      </c>
      <c r="F58" s="1"/>
      <c r="G58" s="4">
        <f>SUMPRODUCT(C58:F61,$C$16:$F$19)</f>
        <v>0</v>
      </c>
      <c r="H58" s="17" t="s">
        <v>17</v>
      </c>
      <c r="I58" s="14">
        <v>2</v>
      </c>
      <c r="J58" t="b">
        <f>IF(G58&lt;=I58,TRUE,FALSE)</f>
        <v>1</v>
      </c>
    </row>
    <row r="59" spans="1:10" x14ac:dyDescent="0.55000000000000004">
      <c r="A59" s="36"/>
      <c r="B59" s="1">
        <v>2</v>
      </c>
      <c r="C59" s="1"/>
      <c r="D59" s="11"/>
      <c r="E59" s="1"/>
      <c r="F59" s="1"/>
    </row>
    <row r="60" spans="1:10" x14ac:dyDescent="0.55000000000000004">
      <c r="A60" s="36"/>
      <c r="B60" s="1">
        <v>3</v>
      </c>
      <c r="C60" s="1"/>
      <c r="D60" s="1"/>
      <c r="E60" s="11"/>
      <c r="F60" s="18">
        <v>1</v>
      </c>
    </row>
    <row r="61" spans="1:10" x14ac:dyDescent="0.55000000000000004">
      <c r="A61" s="36"/>
      <c r="B61" s="19">
        <v>4</v>
      </c>
      <c r="C61" s="1">
        <v>1</v>
      </c>
      <c r="D61" s="1"/>
      <c r="E61" s="18"/>
      <c r="F61" s="18"/>
    </row>
    <row r="62" spans="1:10" x14ac:dyDescent="0.55000000000000004">
      <c r="B62" s="4"/>
      <c r="C62" s="4"/>
      <c r="D62" s="4"/>
      <c r="E62" s="15"/>
      <c r="F62" s="15"/>
    </row>
    <row r="63" spans="1:10" x14ac:dyDescent="0.55000000000000004">
      <c r="B63" s="37" t="s">
        <v>19</v>
      </c>
      <c r="C63" s="37"/>
      <c r="D63" s="37"/>
      <c r="E63" s="37"/>
      <c r="F63" s="33"/>
    </row>
    <row r="64" spans="1:10" x14ac:dyDescent="0.55000000000000004">
      <c r="C64" s="38" t="s">
        <v>11</v>
      </c>
      <c r="D64" s="38"/>
      <c r="E64" s="38"/>
      <c r="F64" s="38"/>
    </row>
    <row r="65" spans="1:10" x14ac:dyDescent="0.55000000000000004">
      <c r="C65" s="10">
        <v>1</v>
      </c>
      <c r="D65" s="10">
        <v>2</v>
      </c>
      <c r="E65" s="10">
        <v>3</v>
      </c>
      <c r="F65" s="20">
        <v>4</v>
      </c>
    </row>
    <row r="66" spans="1:10" x14ac:dyDescent="0.55000000000000004">
      <c r="A66" s="36" t="s">
        <v>12</v>
      </c>
      <c r="B66" s="1">
        <v>1</v>
      </c>
      <c r="C66" s="11" t="s">
        <v>14</v>
      </c>
      <c r="D66" s="1"/>
      <c r="E66" s="1"/>
      <c r="F66" s="1"/>
      <c r="G66" s="4">
        <f>SUMPRODUCT(C66:F69,$C$16:$F$19)</f>
        <v>1</v>
      </c>
      <c r="H66" s="17" t="s">
        <v>17</v>
      </c>
      <c r="I66" s="14">
        <v>2</v>
      </c>
      <c r="J66" t="b">
        <f>IF(G66&lt;=I66,TRUE,FALSE)</f>
        <v>1</v>
      </c>
    </row>
    <row r="67" spans="1:10" x14ac:dyDescent="0.55000000000000004">
      <c r="A67" s="36"/>
      <c r="B67" s="1">
        <v>2</v>
      </c>
      <c r="C67" s="1"/>
      <c r="D67" s="11"/>
      <c r="E67" s="1">
        <v>1</v>
      </c>
      <c r="F67" s="1"/>
    </row>
    <row r="68" spans="1:10" x14ac:dyDescent="0.55000000000000004">
      <c r="A68" s="36"/>
      <c r="B68" s="1">
        <v>3</v>
      </c>
      <c r="C68" s="1"/>
      <c r="D68" s="1"/>
      <c r="E68" s="11"/>
      <c r="F68" s="18">
        <v>1</v>
      </c>
    </row>
    <row r="69" spans="1:10" x14ac:dyDescent="0.55000000000000004">
      <c r="A69" s="36"/>
      <c r="B69" s="19">
        <v>4</v>
      </c>
      <c r="C69" s="1"/>
      <c r="D69" s="1">
        <v>1</v>
      </c>
      <c r="E69" s="18"/>
      <c r="F69" s="18"/>
    </row>
    <row r="70" spans="1:10" x14ac:dyDescent="0.55000000000000004">
      <c r="B70" s="4"/>
      <c r="C70" s="4"/>
      <c r="D70" s="4"/>
      <c r="E70" s="4"/>
      <c r="F70" s="4"/>
      <c r="G70" s="14"/>
      <c r="H70" s="14"/>
      <c r="I70" s="4"/>
    </row>
    <row r="71" spans="1:10" x14ac:dyDescent="0.55000000000000004">
      <c r="B71" s="37" t="s">
        <v>19</v>
      </c>
      <c r="C71" s="37"/>
      <c r="D71" s="37"/>
      <c r="E71" s="37"/>
      <c r="F71" s="33"/>
      <c r="G71" s="14"/>
      <c r="H71" s="14"/>
      <c r="I71" s="4"/>
    </row>
    <row r="72" spans="1:10" x14ac:dyDescent="0.55000000000000004">
      <c r="C72" s="38" t="s">
        <v>11</v>
      </c>
      <c r="D72" s="38"/>
      <c r="E72" s="38"/>
      <c r="F72" s="38"/>
      <c r="G72" s="14"/>
      <c r="H72" s="14"/>
      <c r="I72" s="4"/>
    </row>
    <row r="73" spans="1:10" x14ac:dyDescent="0.55000000000000004">
      <c r="C73" s="10">
        <v>1</v>
      </c>
      <c r="D73" s="10">
        <v>2</v>
      </c>
      <c r="E73" s="10">
        <v>3</v>
      </c>
      <c r="F73" s="20">
        <v>4</v>
      </c>
    </row>
    <row r="74" spans="1:10" x14ac:dyDescent="0.55000000000000004">
      <c r="A74" s="36" t="s">
        <v>12</v>
      </c>
      <c r="B74" s="1">
        <v>1</v>
      </c>
      <c r="C74" s="11"/>
      <c r="D74" s="1"/>
      <c r="E74" s="1">
        <v>1</v>
      </c>
      <c r="F74" s="1"/>
      <c r="G74" s="4">
        <f>SUMPRODUCT(C74:F77,$C$16:$F$19)</f>
        <v>0</v>
      </c>
      <c r="H74" s="17" t="s">
        <v>17</v>
      </c>
      <c r="I74" s="14">
        <v>2</v>
      </c>
      <c r="J74" t="b">
        <f>IF(G74&lt;=I74,TRUE,FALSE)</f>
        <v>1</v>
      </c>
    </row>
    <row r="75" spans="1:10" x14ac:dyDescent="0.55000000000000004">
      <c r="A75" s="36"/>
      <c r="B75" s="1">
        <v>2</v>
      </c>
      <c r="C75" s="1">
        <v>1</v>
      </c>
      <c r="D75" s="11"/>
      <c r="E75" s="1"/>
      <c r="F75" s="1"/>
    </row>
    <row r="76" spans="1:10" x14ac:dyDescent="0.55000000000000004">
      <c r="A76" s="36"/>
      <c r="B76" s="1">
        <v>3</v>
      </c>
      <c r="C76" s="1"/>
      <c r="D76" s="1">
        <v>1</v>
      </c>
      <c r="E76" s="11"/>
      <c r="F76" s="18"/>
    </row>
    <row r="77" spans="1:10" x14ac:dyDescent="0.55000000000000004">
      <c r="A77" s="36"/>
      <c r="B77" s="19">
        <v>4</v>
      </c>
      <c r="C77" s="1"/>
      <c r="D77" s="1"/>
      <c r="E77" s="18"/>
      <c r="F77" s="11"/>
    </row>
    <row r="79" spans="1:10" x14ac:dyDescent="0.55000000000000004">
      <c r="B79" s="37" t="s">
        <v>19</v>
      </c>
      <c r="C79" s="37"/>
      <c r="D79" s="37"/>
      <c r="E79" s="37"/>
      <c r="F79" s="33"/>
    </row>
    <row r="80" spans="1:10" x14ac:dyDescent="0.55000000000000004">
      <c r="C80" s="38" t="s">
        <v>11</v>
      </c>
      <c r="D80" s="38"/>
      <c r="E80" s="38"/>
      <c r="F80" s="38"/>
    </row>
    <row r="81" spans="1:10" x14ac:dyDescent="0.55000000000000004">
      <c r="C81" s="10">
        <v>1</v>
      </c>
      <c r="D81" s="10">
        <v>2</v>
      </c>
      <c r="E81" s="10">
        <v>3</v>
      </c>
      <c r="F81" s="20">
        <v>4</v>
      </c>
    </row>
    <row r="82" spans="1:10" x14ac:dyDescent="0.55000000000000004">
      <c r="A82" s="36" t="s">
        <v>12</v>
      </c>
      <c r="B82" s="1">
        <v>1</v>
      </c>
      <c r="C82" s="11" t="s">
        <v>14</v>
      </c>
      <c r="D82" s="1"/>
      <c r="E82" s="1"/>
      <c r="F82" s="1">
        <v>1</v>
      </c>
      <c r="G82" s="4">
        <f>SUMPRODUCT(C82:F85,$C$16:$F$19)</f>
        <v>1</v>
      </c>
      <c r="H82" s="17" t="s">
        <v>17</v>
      </c>
      <c r="I82" s="14">
        <v>2</v>
      </c>
      <c r="J82" t="b">
        <f>IF(G82&lt;=I82,TRUE,FALSE)</f>
        <v>1</v>
      </c>
    </row>
    <row r="83" spans="1:10" x14ac:dyDescent="0.55000000000000004">
      <c r="A83" s="36"/>
      <c r="B83" s="1">
        <v>2</v>
      </c>
      <c r="C83" s="1">
        <v>1</v>
      </c>
      <c r="D83" s="11"/>
      <c r="E83" s="1"/>
      <c r="F83" s="1"/>
    </row>
    <row r="84" spans="1:10" x14ac:dyDescent="0.55000000000000004">
      <c r="A84" s="36"/>
      <c r="B84" s="1">
        <v>3</v>
      </c>
      <c r="C84" s="1"/>
      <c r="D84" s="1"/>
      <c r="E84" s="11"/>
      <c r="F84" s="18"/>
    </row>
    <row r="85" spans="1:10" x14ac:dyDescent="0.55000000000000004">
      <c r="A85" s="36"/>
      <c r="B85" s="19">
        <v>4</v>
      </c>
      <c r="C85" s="1"/>
      <c r="D85" s="1">
        <v>1</v>
      </c>
      <c r="E85" s="18"/>
      <c r="F85" s="11"/>
    </row>
    <row r="87" spans="1:10" x14ac:dyDescent="0.55000000000000004">
      <c r="B87" s="37" t="s">
        <v>19</v>
      </c>
      <c r="C87" s="37"/>
      <c r="D87" s="37"/>
      <c r="E87" s="37"/>
      <c r="F87" s="33"/>
    </row>
    <row r="88" spans="1:10" x14ac:dyDescent="0.55000000000000004">
      <c r="C88" s="38" t="s">
        <v>11</v>
      </c>
      <c r="D88" s="38"/>
      <c r="E88" s="38"/>
      <c r="F88" s="38"/>
    </row>
    <row r="89" spans="1:10" x14ac:dyDescent="0.55000000000000004">
      <c r="C89" s="10">
        <v>1</v>
      </c>
      <c r="D89" s="10">
        <v>2</v>
      </c>
      <c r="E89" s="10">
        <v>3</v>
      </c>
      <c r="F89" s="20">
        <v>4</v>
      </c>
    </row>
    <row r="90" spans="1:10" x14ac:dyDescent="0.55000000000000004">
      <c r="A90" s="36" t="s">
        <v>12</v>
      </c>
      <c r="B90" s="1">
        <v>1</v>
      </c>
      <c r="C90" s="11" t="s">
        <v>14</v>
      </c>
      <c r="D90" s="1"/>
      <c r="E90" s="1">
        <v>1</v>
      </c>
      <c r="F90" s="1"/>
      <c r="G90" s="4">
        <f>SUMPRODUCT(C90:F93,$C$16:$F$19)</f>
        <v>0</v>
      </c>
      <c r="H90" s="17" t="s">
        <v>17</v>
      </c>
      <c r="I90" s="14">
        <v>2</v>
      </c>
      <c r="J90" t="b">
        <f>IF(G90&lt;=I90,TRUE,FALSE)</f>
        <v>1</v>
      </c>
    </row>
    <row r="91" spans="1:10" x14ac:dyDescent="0.55000000000000004">
      <c r="A91" s="36"/>
      <c r="B91" s="1">
        <v>2</v>
      </c>
      <c r="C91" s="1"/>
      <c r="D91" s="11"/>
      <c r="E91" s="1"/>
      <c r="F91" s="1"/>
    </row>
    <row r="92" spans="1:10" x14ac:dyDescent="0.55000000000000004">
      <c r="A92" s="36"/>
      <c r="B92" s="1">
        <v>3</v>
      </c>
      <c r="C92" s="1"/>
      <c r="D92" s="1"/>
      <c r="E92" s="11"/>
      <c r="F92" s="18">
        <v>1</v>
      </c>
    </row>
    <row r="93" spans="1:10" x14ac:dyDescent="0.55000000000000004">
      <c r="A93" s="36"/>
      <c r="B93" s="19">
        <v>4</v>
      </c>
      <c r="C93" s="1">
        <v>1</v>
      </c>
      <c r="D93" s="1"/>
      <c r="E93" s="18"/>
      <c r="F93" s="18"/>
    </row>
    <row r="94" spans="1:10" x14ac:dyDescent="0.55000000000000004">
      <c r="B94" s="4"/>
      <c r="C94" s="4"/>
      <c r="D94" s="4"/>
      <c r="E94" s="15"/>
      <c r="F94" s="15"/>
    </row>
    <row r="95" spans="1:10" x14ac:dyDescent="0.55000000000000004">
      <c r="B95" s="37" t="s">
        <v>19</v>
      </c>
      <c r="C95" s="37"/>
      <c r="D95" s="37"/>
      <c r="E95" s="37"/>
      <c r="F95" s="33"/>
    </row>
    <row r="96" spans="1:10" x14ac:dyDescent="0.55000000000000004">
      <c r="C96" s="38" t="s">
        <v>11</v>
      </c>
      <c r="D96" s="38"/>
      <c r="E96" s="38"/>
      <c r="F96" s="38"/>
    </row>
    <row r="97" spans="1:10" x14ac:dyDescent="0.55000000000000004">
      <c r="C97" s="10">
        <v>1</v>
      </c>
      <c r="D97" s="10">
        <v>2</v>
      </c>
      <c r="E97" s="10">
        <v>3</v>
      </c>
      <c r="F97" s="20">
        <v>4</v>
      </c>
    </row>
    <row r="98" spans="1:10" x14ac:dyDescent="0.55000000000000004">
      <c r="A98" s="36" t="s">
        <v>12</v>
      </c>
      <c r="B98" s="1">
        <v>1</v>
      </c>
      <c r="C98" s="11" t="s">
        <v>14</v>
      </c>
      <c r="D98" s="1"/>
      <c r="E98" s="1"/>
      <c r="F98" s="1"/>
      <c r="G98" s="4">
        <f>SUMPRODUCT(C98:F101,$C$16:$F$19)</f>
        <v>0</v>
      </c>
      <c r="H98" s="17" t="s">
        <v>17</v>
      </c>
      <c r="I98" s="14">
        <v>2</v>
      </c>
      <c r="J98" t="b">
        <f>IF(G98&lt;=I98,TRUE,FALSE)</f>
        <v>1</v>
      </c>
    </row>
    <row r="99" spans="1:10" x14ac:dyDescent="0.55000000000000004">
      <c r="A99" s="36"/>
      <c r="B99" s="1">
        <v>2</v>
      </c>
      <c r="C99" s="1"/>
      <c r="D99" s="11"/>
      <c r="E99" s="1"/>
      <c r="F99" s="1">
        <v>1</v>
      </c>
    </row>
    <row r="100" spans="1:10" x14ac:dyDescent="0.55000000000000004">
      <c r="A100" s="36"/>
      <c r="B100" s="1">
        <v>3</v>
      </c>
      <c r="C100" s="1"/>
      <c r="D100" s="1">
        <v>1</v>
      </c>
      <c r="E100" s="11"/>
      <c r="F100" s="18"/>
    </row>
    <row r="101" spans="1:10" x14ac:dyDescent="0.55000000000000004">
      <c r="A101" s="36"/>
      <c r="B101" s="19">
        <v>4</v>
      </c>
      <c r="C101" s="1"/>
      <c r="D101" s="1"/>
      <c r="E101" s="18">
        <v>1</v>
      </c>
      <c r="F101" s="18"/>
    </row>
    <row r="102" spans="1:10" x14ac:dyDescent="0.55000000000000004">
      <c r="B102" s="4"/>
      <c r="C102" s="4"/>
      <c r="D102" s="4"/>
      <c r="E102" s="15"/>
      <c r="F102" s="15"/>
    </row>
    <row r="103" spans="1:10" x14ac:dyDescent="0.55000000000000004">
      <c r="B103" s="37" t="s">
        <v>16</v>
      </c>
      <c r="C103" s="37"/>
      <c r="D103" s="37"/>
      <c r="E103" s="37"/>
      <c r="F103" s="33"/>
    </row>
    <row r="104" spans="1:10" x14ac:dyDescent="0.55000000000000004">
      <c r="C104" s="38" t="s">
        <v>11</v>
      </c>
      <c r="D104" s="38"/>
      <c r="E104" s="38"/>
      <c r="F104" s="38"/>
    </row>
    <row r="105" spans="1:10" x14ac:dyDescent="0.55000000000000004">
      <c r="C105" s="10">
        <v>1</v>
      </c>
      <c r="D105" s="10">
        <v>2</v>
      </c>
      <c r="E105" s="10">
        <v>3</v>
      </c>
      <c r="F105" s="20">
        <v>4</v>
      </c>
    </row>
    <row r="106" spans="1:10" x14ac:dyDescent="0.55000000000000004">
      <c r="A106" s="36" t="s">
        <v>12</v>
      </c>
      <c r="B106" s="1">
        <v>1</v>
      </c>
      <c r="C106" s="11" t="s">
        <v>14</v>
      </c>
      <c r="D106" s="1">
        <v>1</v>
      </c>
      <c r="E106" s="1"/>
      <c r="F106" s="1"/>
      <c r="G106" s="4">
        <f>SUMPRODUCT(C106:F109,$C$16:$F$19)</f>
        <v>1</v>
      </c>
      <c r="H106" s="17" t="s">
        <v>17</v>
      </c>
      <c r="I106" s="14">
        <v>1</v>
      </c>
      <c r="J106" t="b">
        <f>IF(G106&lt;=I106,TRUE,FALSE)</f>
        <v>1</v>
      </c>
    </row>
    <row r="107" spans="1:10" x14ac:dyDescent="0.55000000000000004">
      <c r="A107" s="36"/>
      <c r="B107" s="1">
        <v>2</v>
      </c>
      <c r="C107" s="1">
        <v>1</v>
      </c>
      <c r="D107" s="11"/>
      <c r="E107" s="1"/>
      <c r="F107" s="1"/>
    </row>
    <row r="108" spans="1:10" x14ac:dyDescent="0.55000000000000004">
      <c r="A108" s="36"/>
      <c r="B108" s="1">
        <v>3</v>
      </c>
      <c r="C108" s="1"/>
      <c r="D108" s="1"/>
      <c r="E108" s="11"/>
      <c r="F108" s="18"/>
    </row>
    <row r="109" spans="1:10" x14ac:dyDescent="0.55000000000000004">
      <c r="A109" s="36"/>
      <c r="B109" s="19">
        <v>4</v>
      </c>
      <c r="C109" s="1"/>
      <c r="D109" s="1"/>
      <c r="E109" s="1"/>
      <c r="F109" s="1"/>
    </row>
    <row r="110" spans="1:10" x14ac:dyDescent="0.55000000000000004">
      <c r="B110" s="14"/>
    </row>
    <row r="111" spans="1:10" x14ac:dyDescent="0.55000000000000004">
      <c r="B111" s="37" t="s">
        <v>16</v>
      </c>
      <c r="C111" s="37"/>
      <c r="D111" s="37"/>
      <c r="E111" s="37"/>
      <c r="F111" s="33"/>
    </row>
    <row r="112" spans="1:10" x14ac:dyDescent="0.55000000000000004">
      <c r="C112" s="38" t="s">
        <v>11</v>
      </c>
      <c r="D112" s="38"/>
      <c r="E112" s="38"/>
      <c r="F112" s="38"/>
    </row>
    <row r="113" spans="1:10" x14ac:dyDescent="0.55000000000000004">
      <c r="C113" s="10">
        <v>1</v>
      </c>
      <c r="D113" s="10">
        <v>2</v>
      </c>
      <c r="E113" s="10">
        <v>3</v>
      </c>
      <c r="F113" s="20">
        <v>4</v>
      </c>
    </row>
    <row r="114" spans="1:10" x14ac:dyDescent="0.55000000000000004">
      <c r="A114" s="36" t="s">
        <v>12</v>
      </c>
      <c r="B114" s="1">
        <v>1</v>
      </c>
      <c r="C114" s="11" t="s">
        <v>14</v>
      </c>
      <c r="D114" s="1"/>
      <c r="E114" s="1">
        <v>1</v>
      </c>
      <c r="F114" s="1"/>
      <c r="G114" s="4">
        <f>SUMPRODUCT(C114:F117,$C$16:$F$19)</f>
        <v>0</v>
      </c>
      <c r="H114" s="17" t="s">
        <v>17</v>
      </c>
      <c r="I114" s="14">
        <v>1</v>
      </c>
      <c r="J114" t="b">
        <f>IF(G114&lt;=I114,TRUE,FALSE)</f>
        <v>1</v>
      </c>
    </row>
    <row r="115" spans="1:10" x14ac:dyDescent="0.55000000000000004">
      <c r="A115" s="36"/>
      <c r="B115" s="1">
        <v>2</v>
      </c>
      <c r="C115" s="1"/>
      <c r="D115" s="11"/>
      <c r="E115" s="1"/>
      <c r="F115" s="1"/>
    </row>
    <row r="116" spans="1:10" x14ac:dyDescent="0.55000000000000004">
      <c r="A116" s="36"/>
      <c r="B116" s="1">
        <v>3</v>
      </c>
      <c r="C116" s="1">
        <v>1</v>
      </c>
      <c r="D116" s="1"/>
      <c r="E116" s="11"/>
      <c r="F116" s="18"/>
    </row>
    <row r="117" spans="1:10" x14ac:dyDescent="0.55000000000000004">
      <c r="A117" s="36"/>
      <c r="B117" s="19">
        <v>4</v>
      </c>
      <c r="C117" s="1"/>
      <c r="D117" s="1"/>
      <c r="E117" s="1"/>
      <c r="F117" s="1"/>
    </row>
    <row r="118" spans="1:10" x14ac:dyDescent="0.55000000000000004">
      <c r="B118" s="14"/>
    </row>
    <row r="119" spans="1:10" x14ac:dyDescent="0.55000000000000004">
      <c r="B119" s="37" t="s">
        <v>16</v>
      </c>
      <c r="C119" s="37"/>
      <c r="D119" s="37"/>
      <c r="E119" s="37"/>
      <c r="F119" s="33"/>
    </row>
    <row r="120" spans="1:10" x14ac:dyDescent="0.55000000000000004">
      <c r="C120" s="38" t="s">
        <v>11</v>
      </c>
      <c r="D120" s="38"/>
      <c r="E120" s="38"/>
      <c r="F120" s="38"/>
    </row>
    <row r="121" spans="1:10" x14ac:dyDescent="0.55000000000000004">
      <c r="C121" s="10">
        <v>1</v>
      </c>
      <c r="D121" s="10">
        <v>2</v>
      </c>
      <c r="E121" s="10">
        <v>3</v>
      </c>
      <c r="F121" s="20">
        <v>4</v>
      </c>
    </row>
    <row r="122" spans="1:10" x14ac:dyDescent="0.55000000000000004">
      <c r="A122" s="36" t="s">
        <v>12</v>
      </c>
      <c r="B122" s="1">
        <v>1</v>
      </c>
      <c r="C122" s="11" t="s">
        <v>14</v>
      </c>
      <c r="D122" s="1"/>
      <c r="E122" s="1"/>
      <c r="F122" s="1">
        <v>1</v>
      </c>
      <c r="G122" s="4">
        <f>SUMPRODUCT(C122:F125,$C$16:$F$19)</f>
        <v>1</v>
      </c>
      <c r="H122" s="17" t="s">
        <v>17</v>
      </c>
      <c r="I122" s="14">
        <v>1</v>
      </c>
      <c r="J122" t="b">
        <f>IF(G122&lt;=I122,TRUE,FALSE)</f>
        <v>1</v>
      </c>
    </row>
    <row r="123" spans="1:10" x14ac:dyDescent="0.55000000000000004">
      <c r="A123" s="36"/>
      <c r="B123" s="1">
        <v>2</v>
      </c>
      <c r="C123" s="1"/>
      <c r="D123" s="11"/>
      <c r="E123" s="1"/>
      <c r="F123" s="1"/>
    </row>
    <row r="124" spans="1:10" x14ac:dyDescent="0.55000000000000004">
      <c r="A124" s="36"/>
      <c r="B124" s="1">
        <v>3</v>
      </c>
      <c r="C124" s="1"/>
      <c r="D124" s="1"/>
      <c r="E124" s="11"/>
      <c r="F124" s="18"/>
    </row>
    <row r="125" spans="1:10" x14ac:dyDescent="0.55000000000000004">
      <c r="A125" s="36"/>
      <c r="B125" s="19">
        <v>4</v>
      </c>
      <c r="C125" s="1">
        <v>1</v>
      </c>
      <c r="D125" s="1"/>
      <c r="E125" s="1"/>
      <c r="F125" s="1"/>
    </row>
    <row r="126" spans="1:10" x14ac:dyDescent="0.55000000000000004">
      <c r="A126" s="12"/>
      <c r="B126" s="14"/>
      <c r="C126" s="4"/>
      <c r="D126" s="4"/>
      <c r="E126" s="4"/>
      <c r="F126" s="4"/>
    </row>
    <row r="127" spans="1:10" x14ac:dyDescent="0.55000000000000004">
      <c r="B127" s="37" t="s">
        <v>16</v>
      </c>
      <c r="C127" s="37"/>
      <c r="D127" s="37"/>
      <c r="E127" s="37"/>
      <c r="F127" s="33"/>
    </row>
    <row r="128" spans="1:10" x14ac:dyDescent="0.55000000000000004">
      <c r="C128" s="38" t="s">
        <v>11</v>
      </c>
      <c r="D128" s="38"/>
      <c r="E128" s="38"/>
      <c r="F128" s="38"/>
    </row>
    <row r="129" spans="1:10" x14ac:dyDescent="0.55000000000000004">
      <c r="C129" s="10">
        <v>1</v>
      </c>
      <c r="D129" s="10">
        <v>2</v>
      </c>
      <c r="E129" s="10">
        <v>3</v>
      </c>
      <c r="F129" s="20">
        <v>4</v>
      </c>
    </row>
    <row r="130" spans="1:10" x14ac:dyDescent="0.55000000000000004">
      <c r="A130" s="36" t="s">
        <v>12</v>
      </c>
      <c r="B130" s="1">
        <v>1</v>
      </c>
      <c r="C130" s="11" t="s">
        <v>14</v>
      </c>
      <c r="D130" s="1"/>
      <c r="E130" s="1"/>
      <c r="F130" s="1"/>
      <c r="G130" s="4">
        <f>SUMPRODUCT(C130:F133,$C$16:$F$19)</f>
        <v>1</v>
      </c>
      <c r="H130" s="17" t="s">
        <v>17</v>
      </c>
      <c r="I130" s="14">
        <v>1</v>
      </c>
      <c r="J130" t="b">
        <f>IF(G130&lt;=I130,TRUE,FALSE)</f>
        <v>1</v>
      </c>
    </row>
    <row r="131" spans="1:10" x14ac:dyDescent="0.55000000000000004">
      <c r="A131" s="36"/>
      <c r="B131" s="1">
        <v>2</v>
      </c>
      <c r="C131" s="1"/>
      <c r="D131" s="11"/>
      <c r="E131" s="1">
        <v>1</v>
      </c>
      <c r="F131" s="1"/>
    </row>
    <row r="132" spans="1:10" x14ac:dyDescent="0.55000000000000004">
      <c r="A132" s="36"/>
      <c r="B132" s="1">
        <v>3</v>
      </c>
      <c r="C132" s="1"/>
      <c r="D132" s="1">
        <v>1</v>
      </c>
      <c r="E132" s="11"/>
      <c r="F132" s="18"/>
    </row>
    <row r="133" spans="1:10" x14ac:dyDescent="0.55000000000000004">
      <c r="A133" s="36"/>
      <c r="B133" s="19">
        <v>4</v>
      </c>
      <c r="C133" s="1"/>
      <c r="D133" s="1"/>
      <c r="E133" s="1"/>
      <c r="F133" s="1"/>
    </row>
    <row r="134" spans="1:10" x14ac:dyDescent="0.55000000000000004">
      <c r="A134" s="12"/>
      <c r="B134" s="14"/>
      <c r="C134" s="4"/>
      <c r="D134" s="4"/>
      <c r="E134" s="4"/>
      <c r="F134" s="4"/>
    </row>
    <row r="135" spans="1:10" x14ac:dyDescent="0.55000000000000004">
      <c r="B135" s="37" t="s">
        <v>16</v>
      </c>
      <c r="C135" s="37"/>
      <c r="D135" s="37"/>
      <c r="E135" s="37"/>
      <c r="F135" s="33"/>
    </row>
    <row r="136" spans="1:10" x14ac:dyDescent="0.55000000000000004">
      <c r="C136" s="38" t="s">
        <v>11</v>
      </c>
      <c r="D136" s="38"/>
      <c r="E136" s="38"/>
      <c r="F136" s="38"/>
    </row>
    <row r="137" spans="1:10" x14ac:dyDescent="0.55000000000000004">
      <c r="C137" s="10">
        <v>1</v>
      </c>
      <c r="D137" s="10">
        <v>2</v>
      </c>
      <c r="E137" s="10">
        <v>3</v>
      </c>
      <c r="F137" s="20">
        <v>4</v>
      </c>
    </row>
    <row r="138" spans="1:10" x14ac:dyDescent="0.55000000000000004">
      <c r="A138" s="36" t="s">
        <v>12</v>
      </c>
      <c r="B138" s="1">
        <v>1</v>
      </c>
      <c r="C138" s="11" t="s">
        <v>14</v>
      </c>
      <c r="D138" s="1"/>
      <c r="E138" s="1"/>
      <c r="F138" s="1"/>
      <c r="G138" s="4">
        <f>SUMPRODUCT(C138:F141,$C$16:$F$19)</f>
        <v>0</v>
      </c>
      <c r="H138" s="17" t="s">
        <v>17</v>
      </c>
      <c r="I138" s="14">
        <v>1</v>
      </c>
      <c r="J138" t="b">
        <f>IF(G138&lt;=I138,TRUE,FALSE)</f>
        <v>1</v>
      </c>
    </row>
    <row r="139" spans="1:10" x14ac:dyDescent="0.55000000000000004">
      <c r="A139" s="36"/>
      <c r="B139" s="1">
        <v>2</v>
      </c>
      <c r="C139" s="1"/>
      <c r="D139" s="11"/>
      <c r="E139" s="1"/>
      <c r="F139" s="1">
        <v>1</v>
      </c>
    </row>
    <row r="140" spans="1:10" x14ac:dyDescent="0.55000000000000004">
      <c r="A140" s="36"/>
      <c r="B140" s="1">
        <v>3</v>
      </c>
      <c r="C140" s="1"/>
      <c r="D140" s="1"/>
      <c r="E140" s="11"/>
      <c r="F140" s="18"/>
    </row>
    <row r="141" spans="1:10" x14ac:dyDescent="0.55000000000000004">
      <c r="A141" s="36"/>
      <c r="B141" s="19">
        <v>4</v>
      </c>
      <c r="C141" s="1"/>
      <c r="D141" s="1">
        <v>1</v>
      </c>
      <c r="E141" s="1"/>
      <c r="F141" s="1"/>
    </row>
    <row r="142" spans="1:10" x14ac:dyDescent="0.55000000000000004">
      <c r="A142" s="12"/>
      <c r="B142" s="14"/>
      <c r="C142" s="4"/>
      <c r="D142" s="4"/>
      <c r="E142" s="4"/>
      <c r="F142" s="4"/>
    </row>
    <row r="143" spans="1:10" x14ac:dyDescent="0.55000000000000004">
      <c r="B143" s="37" t="s">
        <v>16</v>
      </c>
      <c r="C143" s="37"/>
      <c r="D143" s="37"/>
      <c r="E143" s="37"/>
      <c r="F143" s="33"/>
    </row>
    <row r="144" spans="1:10" x14ac:dyDescent="0.55000000000000004">
      <c r="C144" s="38" t="s">
        <v>11</v>
      </c>
      <c r="D144" s="38"/>
      <c r="E144" s="38"/>
      <c r="F144" s="38"/>
    </row>
    <row r="145" spans="1:10" x14ac:dyDescent="0.55000000000000004">
      <c r="C145" s="10">
        <v>1</v>
      </c>
      <c r="D145" s="10">
        <v>2</v>
      </c>
      <c r="E145" s="10">
        <v>3</v>
      </c>
      <c r="F145" s="20">
        <v>4</v>
      </c>
    </row>
    <row r="146" spans="1:10" x14ac:dyDescent="0.55000000000000004">
      <c r="A146" s="36" t="s">
        <v>12</v>
      </c>
      <c r="B146" s="1">
        <v>1</v>
      </c>
      <c r="C146" s="11" t="s">
        <v>14</v>
      </c>
      <c r="D146" s="1"/>
      <c r="E146" s="1"/>
      <c r="F146" s="1"/>
      <c r="G146" s="4">
        <f>SUMPRODUCT(C146:F149,$C$16:$F$19)</f>
        <v>0</v>
      </c>
      <c r="H146" s="17" t="s">
        <v>17</v>
      </c>
      <c r="I146" s="14">
        <v>1</v>
      </c>
      <c r="J146" t="b">
        <f>IF(G146&lt;=I146,TRUE,FALSE)</f>
        <v>1</v>
      </c>
    </row>
    <row r="147" spans="1:10" x14ac:dyDescent="0.55000000000000004">
      <c r="A147" s="36"/>
      <c r="B147" s="1">
        <v>2</v>
      </c>
      <c r="C147" s="1"/>
      <c r="D147" s="11"/>
      <c r="E147" s="1"/>
      <c r="F147" s="1"/>
    </row>
    <row r="148" spans="1:10" x14ac:dyDescent="0.55000000000000004">
      <c r="A148" s="36"/>
      <c r="B148" s="1">
        <v>3</v>
      </c>
      <c r="C148" s="1"/>
      <c r="D148" s="1"/>
      <c r="E148" s="11"/>
      <c r="F148" s="18">
        <v>1</v>
      </c>
    </row>
    <row r="149" spans="1:10" x14ac:dyDescent="0.55000000000000004">
      <c r="A149" s="36"/>
      <c r="B149" s="19">
        <v>4</v>
      </c>
      <c r="C149" s="1"/>
      <c r="D149" s="1"/>
      <c r="E149" s="1">
        <v>1</v>
      </c>
      <c r="F149" s="1"/>
    </row>
    <row r="150" spans="1:10" x14ac:dyDescent="0.55000000000000004">
      <c r="A150" s="12"/>
      <c r="B150" s="14"/>
      <c r="C150" s="4"/>
      <c r="D150" s="4"/>
      <c r="E150" s="4"/>
      <c r="F150" s="4"/>
    </row>
    <row r="151" spans="1:10" x14ac:dyDescent="0.55000000000000004">
      <c r="A151" s="12"/>
      <c r="B151" s="14"/>
      <c r="C151" s="4"/>
      <c r="D151" s="4"/>
      <c r="E151" s="4"/>
      <c r="F151" s="4"/>
    </row>
    <row r="152" spans="1:10" x14ac:dyDescent="0.55000000000000004">
      <c r="A152" s="12"/>
      <c r="B152" s="14"/>
      <c r="C152" s="4" t="s">
        <v>26</v>
      </c>
      <c r="D152" s="4"/>
      <c r="E152" s="4"/>
      <c r="F152" s="4"/>
    </row>
    <row r="153" spans="1:10" x14ac:dyDescent="0.55000000000000004">
      <c r="C153" s="1">
        <f>C20</f>
        <v>0</v>
      </c>
      <c r="D153" s="1">
        <f t="shared" ref="D153:F153" si="4">D20</f>
        <v>1</v>
      </c>
      <c r="E153" s="1">
        <f t="shared" si="4"/>
        <v>1</v>
      </c>
      <c r="F153" s="1">
        <f t="shared" si="4"/>
        <v>1</v>
      </c>
    </row>
    <row r="154" spans="1:10" x14ac:dyDescent="0.55000000000000004">
      <c r="C154" s="34" t="s">
        <v>15</v>
      </c>
      <c r="D154" s="34" t="s">
        <v>15</v>
      </c>
      <c r="E154" s="34" t="s">
        <v>15</v>
      </c>
      <c r="F154" s="34" t="s">
        <v>15</v>
      </c>
    </row>
    <row r="155" spans="1:10" x14ac:dyDescent="0.55000000000000004">
      <c r="C155" s="1">
        <v>1</v>
      </c>
      <c r="D155" s="1">
        <v>1</v>
      </c>
      <c r="E155" s="1">
        <v>1</v>
      </c>
      <c r="F155" s="1">
        <v>1</v>
      </c>
    </row>
    <row r="156" spans="1:10" x14ac:dyDescent="0.55000000000000004">
      <c r="C156" s="4"/>
      <c r="D156" s="4"/>
      <c r="E156" s="4"/>
      <c r="F156" s="4"/>
    </row>
    <row r="157" spans="1:10" x14ac:dyDescent="0.55000000000000004">
      <c r="C157" t="s">
        <v>27</v>
      </c>
    </row>
    <row r="158" spans="1:10" x14ac:dyDescent="0.55000000000000004">
      <c r="C158" s="1">
        <f>G16</f>
        <v>2</v>
      </c>
      <c r="D158" s="34" t="s">
        <v>15</v>
      </c>
      <c r="E158" s="1">
        <v>1</v>
      </c>
    </row>
    <row r="159" spans="1:10" x14ac:dyDescent="0.55000000000000004">
      <c r="C159" s="1">
        <f>G17</f>
        <v>1</v>
      </c>
      <c r="D159" s="34" t="s">
        <v>15</v>
      </c>
      <c r="E159" s="1">
        <v>1</v>
      </c>
    </row>
    <row r="160" spans="1:10" x14ac:dyDescent="0.55000000000000004">
      <c r="C160" s="1">
        <f>G18</f>
        <v>0</v>
      </c>
      <c r="D160" s="34" t="s">
        <v>15</v>
      </c>
      <c r="E160" s="1">
        <v>1</v>
      </c>
    </row>
    <row r="161" spans="3:5" x14ac:dyDescent="0.55000000000000004">
      <c r="C161" s="1">
        <f>G19</f>
        <v>0</v>
      </c>
      <c r="D161" s="34" t="s">
        <v>15</v>
      </c>
      <c r="E161" s="1">
        <v>1</v>
      </c>
    </row>
  </sheetData>
  <mergeCells count="55">
    <mergeCell ref="A146:A149"/>
    <mergeCell ref="A130:A133"/>
    <mergeCell ref="B135:E135"/>
    <mergeCell ref="C136:F136"/>
    <mergeCell ref="A138:A141"/>
    <mergeCell ref="B143:E143"/>
    <mergeCell ref="C144:F144"/>
    <mergeCell ref="A114:A117"/>
    <mergeCell ref="B119:E119"/>
    <mergeCell ref="C120:F120"/>
    <mergeCell ref="A122:A125"/>
    <mergeCell ref="B127:E127"/>
    <mergeCell ref="C128:F128"/>
    <mergeCell ref="A98:A101"/>
    <mergeCell ref="B103:E103"/>
    <mergeCell ref="C104:F104"/>
    <mergeCell ref="A106:A109"/>
    <mergeCell ref="B111:E111"/>
    <mergeCell ref="C112:F112"/>
    <mergeCell ref="A82:A85"/>
    <mergeCell ref="B87:E87"/>
    <mergeCell ref="C88:F88"/>
    <mergeCell ref="A90:A93"/>
    <mergeCell ref="B95:E95"/>
    <mergeCell ref="C96:F96"/>
    <mergeCell ref="A66:A69"/>
    <mergeCell ref="B71:E71"/>
    <mergeCell ref="C72:F72"/>
    <mergeCell ref="A74:A77"/>
    <mergeCell ref="B79:E79"/>
    <mergeCell ref="C80:F80"/>
    <mergeCell ref="A50:A53"/>
    <mergeCell ref="B55:E55"/>
    <mergeCell ref="C56:F56"/>
    <mergeCell ref="A58:A61"/>
    <mergeCell ref="B63:E63"/>
    <mergeCell ref="C64:F64"/>
    <mergeCell ref="A34:A37"/>
    <mergeCell ref="B39:E39"/>
    <mergeCell ref="C40:F40"/>
    <mergeCell ref="A42:A45"/>
    <mergeCell ref="B47:E47"/>
    <mergeCell ref="C48:F48"/>
    <mergeCell ref="A16:A19"/>
    <mergeCell ref="A23:A24"/>
    <mergeCell ref="C23:F23"/>
    <mergeCell ref="A25:A28"/>
    <mergeCell ref="B31:E31"/>
    <mergeCell ref="C32:F32"/>
    <mergeCell ref="D1:O3"/>
    <mergeCell ref="A6:B6"/>
    <mergeCell ref="C6:F6"/>
    <mergeCell ref="A8:A11"/>
    <mergeCell ref="A14:A15"/>
    <mergeCell ref="C14:F14"/>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61"/>
  <sheetViews>
    <sheetView topLeftCell="A2" zoomScale="120" zoomScaleNormal="120" workbookViewId="0">
      <selection activeCell="C17" sqref="C17"/>
    </sheetView>
  </sheetViews>
  <sheetFormatPr defaultRowHeight="15.3" x14ac:dyDescent="0.55000000000000004"/>
  <cols>
    <col min="1" max="1" width="17.59765625" customWidth="1"/>
    <col min="2" max="2" width="8.75" customWidth="1"/>
    <col min="5" max="6" width="10.25" customWidth="1"/>
    <col min="7" max="7" width="5" customWidth="1"/>
    <col min="8" max="8" width="6.84765625" customWidth="1"/>
    <col min="9" max="9" width="4.5" customWidth="1"/>
    <col min="12" max="12" width="11.59765625" customWidth="1"/>
  </cols>
  <sheetData>
    <row r="1" spans="1:15" ht="31.5" customHeight="1" x14ac:dyDescent="0.55000000000000004">
      <c r="A1" s="32" t="s">
        <v>0</v>
      </c>
      <c r="B1" s="1">
        <f>SUMPRODUCT(C8:F11,C16:F19)</f>
        <v>38</v>
      </c>
      <c r="D1" s="41" t="s">
        <v>18</v>
      </c>
      <c r="E1" s="41"/>
      <c r="F1" s="41"/>
      <c r="G1" s="41"/>
      <c r="H1" s="41"/>
      <c r="I1" s="41"/>
      <c r="J1" s="41"/>
      <c r="K1" s="41"/>
      <c r="L1" s="41"/>
      <c r="M1" s="41"/>
      <c r="N1" s="41"/>
      <c r="O1" s="41"/>
    </row>
    <row r="2" spans="1:15" ht="23.25" customHeight="1" x14ac:dyDescent="0.55000000000000004">
      <c r="A2" s="32" t="s">
        <v>3</v>
      </c>
      <c r="B2" s="1">
        <f>CEILING(B1,1)</f>
        <v>38</v>
      </c>
      <c r="D2" s="41"/>
      <c r="E2" s="41"/>
      <c r="F2" s="41"/>
      <c r="G2" s="41"/>
      <c r="H2" s="41"/>
      <c r="I2" s="41"/>
      <c r="J2" s="41"/>
      <c r="K2" s="41"/>
      <c r="L2" s="41"/>
      <c r="M2" s="41"/>
      <c r="N2" s="41"/>
      <c r="O2" s="41"/>
    </row>
    <row r="3" spans="1:15" ht="23.25" customHeight="1" x14ac:dyDescent="0.55000000000000004">
      <c r="A3" s="32" t="s">
        <v>23</v>
      </c>
      <c r="B3" s="1" t="b">
        <f>IF(AND(D25,E25,E26,C26,C27,D27,F25,F26,F27,C28,D28,E28),TRUE,FALSE)</f>
        <v>1</v>
      </c>
      <c r="D3" s="41"/>
      <c r="E3" s="41"/>
      <c r="F3" s="41"/>
      <c r="G3" s="41"/>
      <c r="H3" s="41"/>
      <c r="I3" s="41"/>
      <c r="J3" s="41"/>
      <c r="K3" s="41"/>
      <c r="L3" s="41"/>
      <c r="M3" s="41"/>
      <c r="N3" s="41"/>
      <c r="O3" s="41"/>
    </row>
    <row r="4" spans="1:15" ht="23.25" customHeight="1" x14ac:dyDescent="0.55000000000000004">
      <c r="A4" s="32" t="s">
        <v>22</v>
      </c>
      <c r="B4" s="1" t="b">
        <f>AND(H16:H19,C21:F21,J34,J42,J50,J58,J66,J74,J82,J90,J98,J106,J114,J122,J130,J138,J146)</f>
        <v>1</v>
      </c>
      <c r="D4" s="27"/>
      <c r="E4" s="27"/>
      <c r="F4" s="27"/>
      <c r="G4" s="27"/>
      <c r="H4" s="27"/>
      <c r="I4" s="27"/>
      <c r="J4" s="27"/>
      <c r="K4" s="27"/>
      <c r="L4" s="27"/>
      <c r="M4" s="27"/>
      <c r="N4" s="27"/>
      <c r="O4" s="27"/>
    </row>
    <row r="5" spans="1:15" x14ac:dyDescent="0.55000000000000004">
      <c r="A5" s="3"/>
      <c r="B5" s="4"/>
    </row>
    <row r="6" spans="1:15" ht="31.5" customHeight="1" x14ac:dyDescent="0.55000000000000004">
      <c r="A6" s="42" t="s">
        <v>21</v>
      </c>
      <c r="B6" s="42"/>
      <c r="C6" s="38" t="s">
        <v>11</v>
      </c>
      <c r="D6" s="38"/>
      <c r="E6" s="38"/>
      <c r="F6" s="38"/>
    </row>
    <row r="7" spans="1:15" x14ac:dyDescent="0.55000000000000004">
      <c r="A7" s="4"/>
      <c r="B7" s="35"/>
      <c r="C7" s="6">
        <v>1</v>
      </c>
      <c r="D7" s="6">
        <v>2</v>
      </c>
      <c r="E7" s="6">
        <v>3</v>
      </c>
      <c r="F7" s="6">
        <v>4</v>
      </c>
    </row>
    <row r="8" spans="1:15" x14ac:dyDescent="0.55000000000000004">
      <c r="A8" s="36" t="s">
        <v>12</v>
      </c>
      <c r="B8" s="5">
        <v>1</v>
      </c>
      <c r="C8" s="11"/>
      <c r="D8" s="6">
        <v>9.5</v>
      </c>
      <c r="E8" s="6">
        <v>12</v>
      </c>
      <c r="F8" s="6">
        <v>10</v>
      </c>
    </row>
    <row r="9" spans="1:15" x14ac:dyDescent="0.55000000000000004">
      <c r="A9" s="36"/>
      <c r="B9" s="5">
        <v>2</v>
      </c>
      <c r="C9" s="6">
        <v>6</v>
      </c>
      <c r="D9" s="11"/>
      <c r="E9" s="6">
        <v>10</v>
      </c>
      <c r="F9" s="6">
        <v>14</v>
      </c>
    </row>
    <row r="10" spans="1:15" x14ac:dyDescent="0.55000000000000004">
      <c r="A10" s="36"/>
      <c r="B10" s="5">
        <v>3</v>
      </c>
      <c r="C10" s="6">
        <v>10</v>
      </c>
      <c r="D10" s="6">
        <v>11</v>
      </c>
      <c r="E10" s="11"/>
      <c r="F10" s="6">
        <v>12</v>
      </c>
    </row>
    <row r="11" spans="1:15" x14ac:dyDescent="0.55000000000000004">
      <c r="A11" s="36"/>
      <c r="B11" s="5">
        <v>4</v>
      </c>
      <c r="C11" s="6">
        <v>7</v>
      </c>
      <c r="D11" s="6">
        <v>8</v>
      </c>
      <c r="E11" s="6">
        <v>15</v>
      </c>
      <c r="F11" s="11"/>
    </row>
    <row r="12" spans="1:15" x14ac:dyDescent="0.55000000000000004">
      <c r="A12" s="3"/>
      <c r="B12" s="4"/>
    </row>
    <row r="13" spans="1:15" x14ac:dyDescent="0.55000000000000004">
      <c r="A13" s="7" t="s">
        <v>4</v>
      </c>
    </row>
    <row r="14" spans="1:15" x14ac:dyDescent="0.55000000000000004">
      <c r="A14" s="39" t="s">
        <v>1</v>
      </c>
      <c r="C14" s="38" t="s">
        <v>11</v>
      </c>
      <c r="D14" s="38"/>
      <c r="E14" s="38"/>
      <c r="F14" s="38"/>
    </row>
    <row r="15" spans="1:15" x14ac:dyDescent="0.55000000000000004">
      <c r="A15" s="40"/>
      <c r="C15" s="24">
        <v>1</v>
      </c>
      <c r="D15" s="24">
        <v>2</v>
      </c>
      <c r="E15" s="24">
        <v>3</v>
      </c>
      <c r="F15" s="25">
        <v>4</v>
      </c>
    </row>
    <row r="16" spans="1:15" x14ac:dyDescent="0.55000000000000004">
      <c r="A16" s="36" t="s">
        <v>12</v>
      </c>
      <c r="B16" s="22">
        <v>1</v>
      </c>
      <c r="C16" s="11">
        <v>0</v>
      </c>
      <c r="D16" s="1">
        <v>0</v>
      </c>
      <c r="E16" s="1">
        <v>0</v>
      </c>
      <c r="F16" s="1">
        <v>1</v>
      </c>
      <c r="G16" s="28">
        <f>SUM(C16:F16)</f>
        <v>1</v>
      </c>
      <c r="H16" s="1" t="b">
        <f>IF(G16=1,TRUE,FALSE)</f>
        <v>1</v>
      </c>
    </row>
    <row r="17" spans="1:9" x14ac:dyDescent="0.55000000000000004">
      <c r="A17" s="36"/>
      <c r="B17" s="22">
        <v>2</v>
      </c>
      <c r="C17" s="43">
        <v>0</v>
      </c>
      <c r="D17" s="11">
        <v>0</v>
      </c>
      <c r="E17" s="1">
        <v>1</v>
      </c>
      <c r="F17" s="1">
        <v>0</v>
      </c>
      <c r="G17" s="28">
        <f t="shared" ref="G17:G19" si="0">SUM(C17:F17)</f>
        <v>1</v>
      </c>
      <c r="H17" s="1" t="b">
        <f t="shared" ref="H17:H19" si="1">IF(G17=1,TRUE,FALSE)</f>
        <v>1</v>
      </c>
    </row>
    <row r="18" spans="1:9" x14ac:dyDescent="0.55000000000000004">
      <c r="A18" s="36"/>
      <c r="B18" s="22">
        <v>3</v>
      </c>
      <c r="C18" s="1">
        <v>1</v>
      </c>
      <c r="D18" s="1">
        <v>0</v>
      </c>
      <c r="E18" s="11">
        <v>0</v>
      </c>
      <c r="F18" s="18">
        <v>0</v>
      </c>
      <c r="G18" s="28">
        <f t="shared" si="0"/>
        <v>1</v>
      </c>
      <c r="H18" s="1" t="b">
        <f t="shared" si="1"/>
        <v>1</v>
      </c>
    </row>
    <row r="19" spans="1:9" x14ac:dyDescent="0.55000000000000004">
      <c r="A19" s="36"/>
      <c r="B19" s="23">
        <v>4</v>
      </c>
      <c r="C19" s="1">
        <v>0</v>
      </c>
      <c r="D19" s="1">
        <v>1</v>
      </c>
      <c r="E19" s="18">
        <v>0</v>
      </c>
      <c r="F19" s="11">
        <v>0</v>
      </c>
      <c r="G19" s="28">
        <f t="shared" si="0"/>
        <v>1</v>
      </c>
      <c r="H19" s="1" t="b">
        <f t="shared" si="1"/>
        <v>1</v>
      </c>
    </row>
    <row r="20" spans="1:9" x14ac:dyDescent="0.55000000000000004">
      <c r="A20" s="12"/>
      <c r="B20" s="4"/>
      <c r="C20" s="29">
        <f>SUM(C16:C19)</f>
        <v>1</v>
      </c>
      <c r="D20" s="29">
        <f t="shared" ref="D20:F20" si="2">SUM(D16:D19)</f>
        <v>1</v>
      </c>
      <c r="E20" s="29">
        <f t="shared" si="2"/>
        <v>1</v>
      </c>
      <c r="F20" s="29">
        <f t="shared" si="2"/>
        <v>1</v>
      </c>
    </row>
    <row r="21" spans="1:9" x14ac:dyDescent="0.55000000000000004">
      <c r="A21" s="12"/>
      <c r="B21" s="4"/>
      <c r="C21" s="1" t="b">
        <f>IF(C20=1,TRUE,FALSE)</f>
        <v>1</v>
      </c>
      <c r="D21" s="1" t="b">
        <f t="shared" ref="D21:F21" si="3">IF(D20=1,TRUE,FALSE)</f>
        <v>1</v>
      </c>
      <c r="E21" s="1" t="b">
        <f t="shared" si="3"/>
        <v>1</v>
      </c>
      <c r="F21" s="1" t="b">
        <f t="shared" si="3"/>
        <v>1</v>
      </c>
    </row>
    <row r="22" spans="1:9" x14ac:dyDescent="0.55000000000000004">
      <c r="A22" s="12"/>
      <c r="B22" s="4"/>
      <c r="C22" s="4"/>
      <c r="D22" s="4"/>
      <c r="E22" s="15"/>
      <c r="F22" s="15"/>
    </row>
    <row r="23" spans="1:9" x14ac:dyDescent="0.55000000000000004">
      <c r="A23" s="39" t="s">
        <v>13</v>
      </c>
      <c r="C23" s="38" t="s">
        <v>11</v>
      </c>
      <c r="D23" s="38"/>
      <c r="E23" s="38"/>
      <c r="F23" s="38"/>
    </row>
    <row r="24" spans="1:9" x14ac:dyDescent="0.55000000000000004">
      <c r="A24" s="40"/>
      <c r="C24" s="24">
        <v>1</v>
      </c>
      <c r="D24" s="24">
        <v>2</v>
      </c>
      <c r="E24" s="24">
        <v>3</v>
      </c>
      <c r="F24" s="25">
        <v>4</v>
      </c>
    </row>
    <row r="25" spans="1:9" x14ac:dyDescent="0.55000000000000004">
      <c r="A25" s="36" t="s">
        <v>12</v>
      </c>
      <c r="B25" s="1">
        <v>1</v>
      </c>
      <c r="C25" s="11"/>
      <c r="D25" s="1" t="b">
        <f>IF(D16=FLOOR(D16,1),TRUE,FALSE)</f>
        <v>1</v>
      </c>
      <c r="E25" s="1" t="b">
        <f>IF(E16=FLOOR(E16,1),TRUE,FALSE)</f>
        <v>1</v>
      </c>
      <c r="F25" s="1" t="b">
        <f>IF(F16=FLOOR(F16,1),TRUE,FALSE)</f>
        <v>1</v>
      </c>
    </row>
    <row r="26" spans="1:9" x14ac:dyDescent="0.55000000000000004">
      <c r="A26" s="36"/>
      <c r="B26" s="1">
        <v>2</v>
      </c>
      <c r="C26" s="1" t="b">
        <f>IF(C17=FLOOR(C17,1),TRUE,FALSE)</f>
        <v>1</v>
      </c>
      <c r="D26" s="11"/>
      <c r="E26" s="1" t="b">
        <f>IF(E17=FLOOR(E17,1),TRUE,FALSE)</f>
        <v>1</v>
      </c>
      <c r="F26" s="1" t="b">
        <f>IF(F17=FLOOR(F17,1),TRUE,FALSE)</f>
        <v>1</v>
      </c>
    </row>
    <row r="27" spans="1:9" x14ac:dyDescent="0.55000000000000004">
      <c r="A27" s="36"/>
      <c r="B27" s="1">
        <v>3</v>
      </c>
      <c r="C27" s="1" t="b">
        <f>IF(C18=FLOOR(C18,1),TRUE,FALSE)</f>
        <v>1</v>
      </c>
      <c r="D27" s="1" t="b">
        <f>IF(D18=FLOOR(D18,1),TRUE,FALSE)</f>
        <v>1</v>
      </c>
      <c r="E27" s="11"/>
      <c r="F27" s="1" t="b">
        <f>IF(F18=FLOOR(F18,1),TRUE,FALSE)</f>
        <v>1</v>
      </c>
    </row>
    <row r="28" spans="1:9" ht="15.6" customHeight="1" x14ac:dyDescent="0.55000000000000004">
      <c r="A28" s="36"/>
      <c r="B28" s="19">
        <v>4</v>
      </c>
      <c r="C28" s="1" t="b">
        <f>IF(C19=FLOOR(C19,1),TRUE,FALSE)</f>
        <v>1</v>
      </c>
      <c r="D28" s="1" t="b">
        <f>IF(D19=FLOOR(D19,1),TRUE,FALSE)</f>
        <v>1</v>
      </c>
      <c r="E28" s="1" t="b">
        <f>IF(E19=FLOOR(E19,1),TRUE,FALSE)</f>
        <v>1</v>
      </c>
      <c r="F28" s="11"/>
    </row>
    <row r="29" spans="1:9" x14ac:dyDescent="0.55000000000000004">
      <c r="A29" s="3"/>
      <c r="B29" s="4"/>
      <c r="C29" s="4"/>
      <c r="D29" s="4"/>
    </row>
    <row r="31" spans="1:9" x14ac:dyDescent="0.55000000000000004">
      <c r="A31" t="s">
        <v>2</v>
      </c>
      <c r="B31" s="37" t="s">
        <v>20</v>
      </c>
      <c r="C31" s="37"/>
      <c r="D31" s="37"/>
      <c r="E31" s="37"/>
      <c r="F31" s="33"/>
      <c r="G31" s="13"/>
      <c r="H31" s="13"/>
      <c r="I31" s="4"/>
    </row>
    <row r="32" spans="1:9" x14ac:dyDescent="0.55000000000000004">
      <c r="C32" s="38" t="s">
        <v>11</v>
      </c>
      <c r="D32" s="38"/>
      <c r="E32" s="38"/>
      <c r="F32" s="38"/>
      <c r="G32" s="4"/>
      <c r="H32" s="4"/>
      <c r="I32" s="4"/>
    </row>
    <row r="33" spans="1:10" x14ac:dyDescent="0.55000000000000004">
      <c r="C33" s="10">
        <v>1</v>
      </c>
      <c r="D33" s="10">
        <v>2</v>
      </c>
      <c r="E33" s="10">
        <v>3</v>
      </c>
      <c r="F33" s="20">
        <v>4</v>
      </c>
      <c r="G33" s="4"/>
      <c r="H33" s="4"/>
      <c r="I33" s="4"/>
    </row>
    <row r="34" spans="1:10" x14ac:dyDescent="0.55000000000000004">
      <c r="A34" s="36" t="s">
        <v>12</v>
      </c>
      <c r="B34" s="1">
        <v>1</v>
      </c>
      <c r="C34" s="11" t="s">
        <v>14</v>
      </c>
      <c r="D34" s="1">
        <v>1</v>
      </c>
      <c r="E34" s="1">
        <v>1</v>
      </c>
      <c r="F34" s="1">
        <v>1</v>
      </c>
      <c r="G34" s="4">
        <f>SUMPRODUCT(C34:F37,$C$16:$F$19)</f>
        <v>4</v>
      </c>
      <c r="H34" s="4" t="s">
        <v>15</v>
      </c>
      <c r="I34" s="14">
        <v>4</v>
      </c>
      <c r="J34" t="b">
        <f>IF(G34=I34,TRUE,FALSE)</f>
        <v>1</v>
      </c>
    </row>
    <row r="35" spans="1:10" x14ac:dyDescent="0.55000000000000004">
      <c r="A35" s="36"/>
      <c r="B35" s="1">
        <v>2</v>
      </c>
      <c r="C35" s="1">
        <v>1</v>
      </c>
      <c r="D35" s="11"/>
      <c r="E35" s="1">
        <v>1</v>
      </c>
      <c r="F35" s="1">
        <v>1</v>
      </c>
      <c r="G35" s="4"/>
      <c r="H35" s="4"/>
      <c r="I35" s="4"/>
    </row>
    <row r="36" spans="1:10" x14ac:dyDescent="0.55000000000000004">
      <c r="A36" s="36"/>
      <c r="B36" s="1">
        <v>3</v>
      </c>
      <c r="C36" s="1">
        <v>1</v>
      </c>
      <c r="D36" s="1">
        <v>1</v>
      </c>
      <c r="E36" s="11"/>
      <c r="F36" s="1">
        <v>1</v>
      </c>
      <c r="G36" s="14"/>
      <c r="H36" s="14"/>
      <c r="I36" s="4"/>
    </row>
    <row r="37" spans="1:10" x14ac:dyDescent="0.55000000000000004">
      <c r="A37" s="36"/>
      <c r="B37" s="19">
        <v>4</v>
      </c>
      <c r="C37" s="1">
        <v>1</v>
      </c>
      <c r="D37" s="1">
        <v>1</v>
      </c>
      <c r="E37" s="11"/>
      <c r="F37" s="1">
        <v>1</v>
      </c>
      <c r="G37" s="14"/>
      <c r="H37" s="14"/>
      <c r="I37" s="4"/>
    </row>
    <row r="38" spans="1:10" x14ac:dyDescent="0.55000000000000004">
      <c r="B38" s="4"/>
      <c r="C38" s="4"/>
      <c r="D38" s="4"/>
      <c r="E38" s="4"/>
      <c r="F38" s="4"/>
      <c r="G38" s="14"/>
      <c r="H38" s="14"/>
      <c r="I38" s="4"/>
    </row>
    <row r="39" spans="1:10" x14ac:dyDescent="0.55000000000000004">
      <c r="B39" s="37" t="s">
        <v>19</v>
      </c>
      <c r="C39" s="37"/>
      <c r="D39" s="37"/>
      <c r="E39" s="37"/>
      <c r="F39" s="33"/>
      <c r="G39" s="14"/>
      <c r="H39" s="14"/>
      <c r="I39" s="4"/>
    </row>
    <row r="40" spans="1:10" x14ac:dyDescent="0.55000000000000004">
      <c r="C40" s="38" t="s">
        <v>11</v>
      </c>
      <c r="D40" s="38"/>
      <c r="E40" s="38"/>
      <c r="F40" s="38"/>
      <c r="G40" s="14"/>
      <c r="H40" s="14"/>
      <c r="I40" s="4"/>
    </row>
    <row r="41" spans="1:10" x14ac:dyDescent="0.55000000000000004">
      <c r="C41" s="10">
        <v>1</v>
      </c>
      <c r="D41" s="10">
        <v>2</v>
      </c>
      <c r="E41" s="10">
        <v>3</v>
      </c>
      <c r="F41" s="20">
        <v>4</v>
      </c>
    </row>
    <row r="42" spans="1:10" x14ac:dyDescent="0.55000000000000004">
      <c r="A42" s="36" t="s">
        <v>12</v>
      </c>
      <c r="B42" s="1">
        <v>1</v>
      </c>
      <c r="C42" s="11"/>
      <c r="D42" s="1">
        <v>1</v>
      </c>
      <c r="E42" s="1"/>
      <c r="F42" s="1"/>
      <c r="G42" s="4">
        <f>SUMPRODUCT(C42:F45,$C$16:$F$19)</f>
        <v>2</v>
      </c>
      <c r="H42" s="17" t="s">
        <v>17</v>
      </c>
      <c r="I42" s="14">
        <v>2</v>
      </c>
      <c r="J42" t="b">
        <f>IF(G42&lt;=I42,TRUE,FALSE)</f>
        <v>1</v>
      </c>
    </row>
    <row r="43" spans="1:10" x14ac:dyDescent="0.55000000000000004">
      <c r="A43" s="36"/>
      <c r="B43" s="1">
        <v>2</v>
      </c>
      <c r="C43" s="1"/>
      <c r="D43" s="11"/>
      <c r="E43" s="1">
        <v>1</v>
      </c>
      <c r="F43" s="1"/>
    </row>
    <row r="44" spans="1:10" x14ac:dyDescent="0.55000000000000004">
      <c r="A44" s="36"/>
      <c r="B44" s="1">
        <v>3</v>
      </c>
      <c r="C44" s="1">
        <v>1</v>
      </c>
      <c r="D44" s="1"/>
      <c r="E44" s="11"/>
      <c r="F44" s="18"/>
    </row>
    <row r="45" spans="1:10" x14ac:dyDescent="0.55000000000000004">
      <c r="A45" s="36"/>
      <c r="B45" s="19">
        <v>4</v>
      </c>
      <c r="C45" s="1"/>
      <c r="D45" s="1"/>
      <c r="E45" s="18"/>
      <c r="F45" s="11"/>
    </row>
    <row r="47" spans="1:10" x14ac:dyDescent="0.55000000000000004">
      <c r="B47" s="37" t="s">
        <v>19</v>
      </c>
      <c r="C47" s="37"/>
      <c r="D47" s="37"/>
      <c r="E47" s="37"/>
      <c r="F47" s="33"/>
    </row>
    <row r="48" spans="1:10" x14ac:dyDescent="0.55000000000000004">
      <c r="C48" s="38" t="s">
        <v>11</v>
      </c>
      <c r="D48" s="38"/>
      <c r="E48" s="38"/>
      <c r="F48" s="38"/>
    </row>
    <row r="49" spans="1:10" x14ac:dyDescent="0.55000000000000004">
      <c r="C49" s="10">
        <v>1</v>
      </c>
      <c r="D49" s="10">
        <v>2</v>
      </c>
      <c r="E49" s="10">
        <v>3</v>
      </c>
      <c r="F49" s="20">
        <v>4</v>
      </c>
    </row>
    <row r="50" spans="1:10" x14ac:dyDescent="0.55000000000000004">
      <c r="A50" s="36" t="s">
        <v>12</v>
      </c>
      <c r="B50" s="1">
        <v>1</v>
      </c>
      <c r="C50" s="11" t="s">
        <v>14</v>
      </c>
      <c r="D50" s="1">
        <v>1</v>
      </c>
      <c r="E50" s="1"/>
      <c r="F50" s="1"/>
      <c r="G50" s="4">
        <f>SUMPRODUCT(C50:F53,$C$16:$F$19)</f>
        <v>0</v>
      </c>
      <c r="H50" s="17" t="s">
        <v>17</v>
      </c>
      <c r="I50" s="14">
        <v>2</v>
      </c>
      <c r="J50" t="b">
        <f>IF(G50&lt;=I50,TRUE,FALSE)</f>
        <v>1</v>
      </c>
    </row>
    <row r="51" spans="1:10" x14ac:dyDescent="0.55000000000000004">
      <c r="A51" s="36"/>
      <c r="B51" s="1">
        <v>2</v>
      </c>
      <c r="C51" s="1"/>
      <c r="D51" s="11"/>
      <c r="E51" s="1"/>
      <c r="F51" s="1">
        <v>1</v>
      </c>
    </row>
    <row r="52" spans="1:10" x14ac:dyDescent="0.55000000000000004">
      <c r="A52" s="36"/>
      <c r="B52" s="1">
        <v>3</v>
      </c>
      <c r="C52" s="1"/>
      <c r="D52" s="1"/>
      <c r="E52" s="11"/>
      <c r="F52" s="18"/>
    </row>
    <row r="53" spans="1:10" x14ac:dyDescent="0.55000000000000004">
      <c r="A53" s="36"/>
      <c r="B53" s="19">
        <v>4</v>
      </c>
      <c r="C53" s="1">
        <v>1</v>
      </c>
      <c r="D53" s="1"/>
      <c r="E53" s="18"/>
      <c r="F53" s="11"/>
    </row>
    <row r="55" spans="1:10" x14ac:dyDescent="0.55000000000000004">
      <c r="B55" s="37" t="s">
        <v>19</v>
      </c>
      <c r="C55" s="37"/>
      <c r="D55" s="37"/>
      <c r="E55" s="37"/>
      <c r="F55" s="33"/>
    </row>
    <row r="56" spans="1:10" x14ac:dyDescent="0.55000000000000004">
      <c r="C56" s="38" t="s">
        <v>11</v>
      </c>
      <c r="D56" s="38"/>
      <c r="E56" s="38"/>
      <c r="F56" s="38"/>
    </row>
    <row r="57" spans="1:10" x14ac:dyDescent="0.55000000000000004">
      <c r="C57" s="10">
        <v>1</v>
      </c>
      <c r="D57" s="10">
        <v>2</v>
      </c>
      <c r="E57" s="10">
        <v>3</v>
      </c>
      <c r="F57" s="20">
        <v>4</v>
      </c>
    </row>
    <row r="58" spans="1:10" x14ac:dyDescent="0.55000000000000004">
      <c r="A58" s="36" t="s">
        <v>12</v>
      </c>
      <c r="B58" s="1">
        <v>1</v>
      </c>
      <c r="C58" s="11" t="s">
        <v>14</v>
      </c>
      <c r="D58" s="1"/>
      <c r="E58" s="1">
        <v>1</v>
      </c>
      <c r="F58" s="1"/>
      <c r="G58" s="4">
        <f>SUMPRODUCT(C58:F61,$C$16:$F$19)</f>
        <v>0</v>
      </c>
      <c r="H58" s="17" t="s">
        <v>17</v>
      </c>
      <c r="I58" s="14">
        <v>2</v>
      </c>
      <c r="J58" t="b">
        <f>IF(G58&lt;=I58,TRUE,FALSE)</f>
        <v>1</v>
      </c>
    </row>
    <row r="59" spans="1:10" x14ac:dyDescent="0.55000000000000004">
      <c r="A59" s="36"/>
      <c r="B59" s="1">
        <v>2</v>
      </c>
      <c r="C59" s="1"/>
      <c r="D59" s="11"/>
      <c r="E59" s="1"/>
      <c r="F59" s="1"/>
    </row>
    <row r="60" spans="1:10" x14ac:dyDescent="0.55000000000000004">
      <c r="A60" s="36"/>
      <c r="B60" s="1">
        <v>3</v>
      </c>
      <c r="C60" s="1"/>
      <c r="D60" s="1"/>
      <c r="E60" s="11"/>
      <c r="F60" s="18">
        <v>1</v>
      </c>
    </row>
    <row r="61" spans="1:10" x14ac:dyDescent="0.55000000000000004">
      <c r="A61" s="36"/>
      <c r="B61" s="19">
        <v>4</v>
      </c>
      <c r="C61" s="1">
        <v>1</v>
      </c>
      <c r="D61" s="1"/>
      <c r="E61" s="18"/>
      <c r="F61" s="18"/>
    </row>
    <row r="62" spans="1:10" x14ac:dyDescent="0.55000000000000004">
      <c r="B62" s="4"/>
      <c r="C62" s="4"/>
      <c r="D62" s="4"/>
      <c r="E62" s="15"/>
      <c r="F62" s="15"/>
    </row>
    <row r="63" spans="1:10" x14ac:dyDescent="0.55000000000000004">
      <c r="B63" s="37" t="s">
        <v>19</v>
      </c>
      <c r="C63" s="37"/>
      <c r="D63" s="37"/>
      <c r="E63" s="37"/>
      <c r="F63" s="33"/>
    </row>
    <row r="64" spans="1:10" x14ac:dyDescent="0.55000000000000004">
      <c r="C64" s="38" t="s">
        <v>11</v>
      </c>
      <c r="D64" s="38"/>
      <c r="E64" s="38"/>
      <c r="F64" s="38"/>
    </row>
    <row r="65" spans="1:10" x14ac:dyDescent="0.55000000000000004">
      <c r="C65" s="10">
        <v>1</v>
      </c>
      <c r="D65" s="10">
        <v>2</v>
      </c>
      <c r="E65" s="10">
        <v>3</v>
      </c>
      <c r="F65" s="20">
        <v>4</v>
      </c>
    </row>
    <row r="66" spans="1:10" x14ac:dyDescent="0.55000000000000004">
      <c r="A66" s="36" t="s">
        <v>12</v>
      </c>
      <c r="B66" s="1">
        <v>1</v>
      </c>
      <c r="C66" s="11" t="s">
        <v>14</v>
      </c>
      <c r="D66" s="1"/>
      <c r="E66" s="1"/>
      <c r="F66" s="1"/>
      <c r="G66" s="4">
        <f>SUMPRODUCT(C66:F69,$C$16:$F$19)</f>
        <v>2</v>
      </c>
      <c r="H66" s="17" t="s">
        <v>17</v>
      </c>
      <c r="I66" s="14">
        <v>2</v>
      </c>
      <c r="J66" t="b">
        <f>IF(G66&lt;=I66,TRUE,FALSE)</f>
        <v>1</v>
      </c>
    </row>
    <row r="67" spans="1:10" x14ac:dyDescent="0.55000000000000004">
      <c r="A67" s="36"/>
      <c r="B67" s="1">
        <v>2</v>
      </c>
      <c r="C67" s="1"/>
      <c r="D67" s="11"/>
      <c r="E67" s="1">
        <v>1</v>
      </c>
      <c r="F67" s="1"/>
    </row>
    <row r="68" spans="1:10" x14ac:dyDescent="0.55000000000000004">
      <c r="A68" s="36"/>
      <c r="B68" s="1">
        <v>3</v>
      </c>
      <c r="C68" s="1"/>
      <c r="D68" s="1"/>
      <c r="E68" s="11"/>
      <c r="F68" s="18">
        <v>1</v>
      </c>
    </row>
    <row r="69" spans="1:10" x14ac:dyDescent="0.55000000000000004">
      <c r="A69" s="36"/>
      <c r="B69" s="19">
        <v>4</v>
      </c>
      <c r="C69" s="1"/>
      <c r="D69" s="1">
        <v>1</v>
      </c>
      <c r="E69" s="18"/>
      <c r="F69" s="18"/>
    </row>
    <row r="70" spans="1:10" x14ac:dyDescent="0.55000000000000004">
      <c r="B70" s="4"/>
      <c r="C70" s="4"/>
      <c r="D70" s="4"/>
      <c r="E70" s="4"/>
      <c r="F70" s="4"/>
      <c r="G70" s="14"/>
      <c r="H70" s="14"/>
      <c r="I70" s="4"/>
    </row>
    <row r="71" spans="1:10" x14ac:dyDescent="0.55000000000000004">
      <c r="B71" s="37" t="s">
        <v>19</v>
      </c>
      <c r="C71" s="37"/>
      <c r="D71" s="37"/>
      <c r="E71" s="37"/>
      <c r="F71" s="33"/>
      <c r="G71" s="14"/>
      <c r="H71" s="14"/>
      <c r="I71" s="4"/>
    </row>
    <row r="72" spans="1:10" x14ac:dyDescent="0.55000000000000004">
      <c r="C72" s="38" t="s">
        <v>11</v>
      </c>
      <c r="D72" s="38"/>
      <c r="E72" s="38"/>
      <c r="F72" s="38"/>
      <c r="G72" s="14"/>
      <c r="H72" s="14"/>
      <c r="I72" s="4"/>
    </row>
    <row r="73" spans="1:10" x14ac:dyDescent="0.55000000000000004">
      <c r="C73" s="10">
        <v>1</v>
      </c>
      <c r="D73" s="10">
        <v>2</v>
      </c>
      <c r="E73" s="10">
        <v>3</v>
      </c>
      <c r="F73" s="20">
        <v>4</v>
      </c>
    </row>
    <row r="74" spans="1:10" x14ac:dyDescent="0.55000000000000004">
      <c r="A74" s="36" t="s">
        <v>12</v>
      </c>
      <c r="B74" s="1">
        <v>1</v>
      </c>
      <c r="C74" s="11"/>
      <c r="D74" s="1"/>
      <c r="E74" s="1">
        <v>1</v>
      </c>
      <c r="F74" s="1"/>
      <c r="G74" s="4">
        <f>SUMPRODUCT(C74:F77,$C$16:$F$19)</f>
        <v>0</v>
      </c>
      <c r="H74" s="17" t="s">
        <v>17</v>
      </c>
      <c r="I74" s="14">
        <v>2</v>
      </c>
      <c r="J74" t="b">
        <f>IF(G74&lt;=I74,TRUE,FALSE)</f>
        <v>1</v>
      </c>
    </row>
    <row r="75" spans="1:10" x14ac:dyDescent="0.55000000000000004">
      <c r="A75" s="36"/>
      <c r="B75" s="1">
        <v>2</v>
      </c>
      <c r="C75" s="1">
        <v>1</v>
      </c>
      <c r="D75" s="11"/>
      <c r="E75" s="1"/>
      <c r="F75" s="1"/>
    </row>
    <row r="76" spans="1:10" x14ac:dyDescent="0.55000000000000004">
      <c r="A76" s="36"/>
      <c r="B76" s="1">
        <v>3</v>
      </c>
      <c r="C76" s="1"/>
      <c r="D76" s="1">
        <v>1</v>
      </c>
      <c r="E76" s="11"/>
      <c r="F76" s="18"/>
    </row>
    <row r="77" spans="1:10" x14ac:dyDescent="0.55000000000000004">
      <c r="A77" s="36"/>
      <c r="B77" s="19">
        <v>4</v>
      </c>
      <c r="C77" s="1"/>
      <c r="D77" s="1"/>
      <c r="E77" s="18"/>
      <c r="F77" s="11"/>
    </row>
    <row r="79" spans="1:10" x14ac:dyDescent="0.55000000000000004">
      <c r="B79" s="37" t="s">
        <v>19</v>
      </c>
      <c r="C79" s="37"/>
      <c r="D79" s="37"/>
      <c r="E79" s="37"/>
      <c r="F79" s="33"/>
    </row>
    <row r="80" spans="1:10" x14ac:dyDescent="0.55000000000000004">
      <c r="C80" s="38" t="s">
        <v>11</v>
      </c>
      <c r="D80" s="38"/>
      <c r="E80" s="38"/>
      <c r="F80" s="38"/>
    </row>
    <row r="81" spans="1:10" x14ac:dyDescent="0.55000000000000004">
      <c r="C81" s="10">
        <v>1</v>
      </c>
      <c r="D81" s="10">
        <v>2</v>
      </c>
      <c r="E81" s="10">
        <v>3</v>
      </c>
      <c r="F81" s="20">
        <v>4</v>
      </c>
    </row>
    <row r="82" spans="1:10" x14ac:dyDescent="0.55000000000000004">
      <c r="A82" s="36" t="s">
        <v>12</v>
      </c>
      <c r="B82" s="1">
        <v>1</v>
      </c>
      <c r="C82" s="11" t="s">
        <v>14</v>
      </c>
      <c r="D82" s="1"/>
      <c r="E82" s="1"/>
      <c r="F82" s="1">
        <v>1</v>
      </c>
      <c r="G82" s="4">
        <f>SUMPRODUCT(C82:F85,$C$16:$F$19)</f>
        <v>2</v>
      </c>
      <c r="H82" s="17" t="s">
        <v>17</v>
      </c>
      <c r="I82" s="14">
        <v>2</v>
      </c>
      <c r="J82" t="b">
        <f>IF(G82&lt;=I82,TRUE,FALSE)</f>
        <v>1</v>
      </c>
    </row>
    <row r="83" spans="1:10" x14ac:dyDescent="0.55000000000000004">
      <c r="A83" s="36"/>
      <c r="B83" s="1">
        <v>2</v>
      </c>
      <c r="C83" s="1">
        <v>1</v>
      </c>
      <c r="D83" s="11"/>
      <c r="E83" s="1"/>
      <c r="F83" s="1"/>
    </row>
    <row r="84" spans="1:10" x14ac:dyDescent="0.55000000000000004">
      <c r="A84" s="36"/>
      <c r="B84" s="1">
        <v>3</v>
      </c>
      <c r="C84" s="1"/>
      <c r="D84" s="1"/>
      <c r="E84" s="11"/>
      <c r="F84" s="18"/>
    </row>
    <row r="85" spans="1:10" x14ac:dyDescent="0.55000000000000004">
      <c r="A85" s="36"/>
      <c r="B85" s="19">
        <v>4</v>
      </c>
      <c r="C85" s="1"/>
      <c r="D85" s="1">
        <v>1</v>
      </c>
      <c r="E85" s="18"/>
      <c r="F85" s="11"/>
    </row>
    <row r="87" spans="1:10" x14ac:dyDescent="0.55000000000000004">
      <c r="B87" s="37" t="s">
        <v>19</v>
      </c>
      <c r="C87" s="37"/>
      <c r="D87" s="37"/>
      <c r="E87" s="37"/>
      <c r="F87" s="33"/>
    </row>
    <row r="88" spans="1:10" x14ac:dyDescent="0.55000000000000004">
      <c r="C88" s="38" t="s">
        <v>11</v>
      </c>
      <c r="D88" s="38"/>
      <c r="E88" s="38"/>
      <c r="F88" s="38"/>
    </row>
    <row r="89" spans="1:10" x14ac:dyDescent="0.55000000000000004">
      <c r="C89" s="10">
        <v>1</v>
      </c>
      <c r="D89" s="10">
        <v>2</v>
      </c>
      <c r="E89" s="10">
        <v>3</v>
      </c>
      <c r="F89" s="20">
        <v>4</v>
      </c>
    </row>
    <row r="90" spans="1:10" x14ac:dyDescent="0.55000000000000004">
      <c r="A90" s="36" t="s">
        <v>12</v>
      </c>
      <c r="B90" s="1">
        <v>1</v>
      </c>
      <c r="C90" s="11" t="s">
        <v>14</v>
      </c>
      <c r="D90" s="1"/>
      <c r="E90" s="1">
        <v>1</v>
      </c>
      <c r="F90" s="1"/>
      <c r="G90" s="4">
        <f>SUMPRODUCT(C90:F93,$C$16:$F$19)</f>
        <v>0</v>
      </c>
      <c r="H90" s="17" t="s">
        <v>17</v>
      </c>
      <c r="I90" s="14">
        <v>2</v>
      </c>
      <c r="J90" t="b">
        <f>IF(G90&lt;=I90,TRUE,FALSE)</f>
        <v>1</v>
      </c>
    </row>
    <row r="91" spans="1:10" x14ac:dyDescent="0.55000000000000004">
      <c r="A91" s="36"/>
      <c r="B91" s="1">
        <v>2</v>
      </c>
      <c r="C91" s="1"/>
      <c r="D91" s="11"/>
      <c r="E91" s="1"/>
      <c r="F91" s="1"/>
    </row>
    <row r="92" spans="1:10" x14ac:dyDescent="0.55000000000000004">
      <c r="A92" s="36"/>
      <c r="B92" s="1">
        <v>3</v>
      </c>
      <c r="C92" s="1"/>
      <c r="D92" s="1"/>
      <c r="E92" s="11"/>
      <c r="F92" s="18">
        <v>1</v>
      </c>
    </row>
    <row r="93" spans="1:10" x14ac:dyDescent="0.55000000000000004">
      <c r="A93" s="36"/>
      <c r="B93" s="19">
        <v>4</v>
      </c>
      <c r="C93" s="1">
        <v>1</v>
      </c>
      <c r="D93" s="1"/>
      <c r="E93" s="18"/>
      <c r="F93" s="18"/>
    </row>
    <row r="94" spans="1:10" x14ac:dyDescent="0.55000000000000004">
      <c r="B94" s="4"/>
      <c r="C94" s="4"/>
      <c r="D94" s="4"/>
      <c r="E94" s="15"/>
      <c r="F94" s="15"/>
    </row>
    <row r="95" spans="1:10" x14ac:dyDescent="0.55000000000000004">
      <c r="B95" s="37" t="s">
        <v>19</v>
      </c>
      <c r="C95" s="37"/>
      <c r="D95" s="37"/>
      <c r="E95" s="37"/>
      <c r="F95" s="33"/>
    </row>
    <row r="96" spans="1:10" x14ac:dyDescent="0.55000000000000004">
      <c r="C96" s="38" t="s">
        <v>11</v>
      </c>
      <c r="D96" s="38"/>
      <c r="E96" s="38"/>
      <c r="F96" s="38"/>
    </row>
    <row r="97" spans="1:10" x14ac:dyDescent="0.55000000000000004">
      <c r="C97" s="10">
        <v>1</v>
      </c>
      <c r="D97" s="10">
        <v>2</v>
      </c>
      <c r="E97" s="10">
        <v>3</v>
      </c>
      <c r="F97" s="20">
        <v>4</v>
      </c>
    </row>
    <row r="98" spans="1:10" x14ac:dyDescent="0.55000000000000004">
      <c r="A98" s="36" t="s">
        <v>12</v>
      </c>
      <c r="B98" s="1">
        <v>1</v>
      </c>
      <c r="C98" s="11" t="s">
        <v>14</v>
      </c>
      <c r="D98" s="1"/>
      <c r="E98" s="1"/>
      <c r="F98" s="1"/>
      <c r="G98" s="4">
        <f>SUMPRODUCT(C98:F101,$C$16:$F$19)</f>
        <v>0</v>
      </c>
      <c r="H98" s="17" t="s">
        <v>17</v>
      </c>
      <c r="I98" s="14">
        <v>2</v>
      </c>
      <c r="J98" t="b">
        <f>IF(G98&lt;=I98,TRUE,FALSE)</f>
        <v>1</v>
      </c>
    </row>
    <row r="99" spans="1:10" x14ac:dyDescent="0.55000000000000004">
      <c r="A99" s="36"/>
      <c r="B99" s="1">
        <v>2</v>
      </c>
      <c r="C99" s="1"/>
      <c r="D99" s="11"/>
      <c r="E99" s="1"/>
      <c r="F99" s="1">
        <v>1</v>
      </c>
    </row>
    <row r="100" spans="1:10" x14ac:dyDescent="0.55000000000000004">
      <c r="A100" s="36"/>
      <c r="B100" s="1">
        <v>3</v>
      </c>
      <c r="C100" s="1"/>
      <c r="D100" s="1">
        <v>1</v>
      </c>
      <c r="E100" s="11"/>
      <c r="F100" s="18"/>
    </row>
    <row r="101" spans="1:10" x14ac:dyDescent="0.55000000000000004">
      <c r="A101" s="36"/>
      <c r="B101" s="19">
        <v>4</v>
      </c>
      <c r="C101" s="1"/>
      <c r="D101" s="1"/>
      <c r="E101" s="18">
        <v>1</v>
      </c>
      <c r="F101" s="18"/>
    </row>
    <row r="102" spans="1:10" x14ac:dyDescent="0.55000000000000004">
      <c r="B102" s="4"/>
      <c r="C102" s="4"/>
      <c r="D102" s="4"/>
      <c r="E102" s="15"/>
      <c r="F102" s="15"/>
    </row>
    <row r="103" spans="1:10" x14ac:dyDescent="0.55000000000000004">
      <c r="B103" s="37" t="s">
        <v>16</v>
      </c>
      <c r="C103" s="37"/>
      <c r="D103" s="37"/>
      <c r="E103" s="37"/>
      <c r="F103" s="33"/>
    </row>
    <row r="104" spans="1:10" x14ac:dyDescent="0.55000000000000004">
      <c r="C104" s="38" t="s">
        <v>11</v>
      </c>
      <c r="D104" s="38"/>
      <c r="E104" s="38"/>
      <c r="F104" s="38"/>
    </row>
    <row r="105" spans="1:10" x14ac:dyDescent="0.55000000000000004">
      <c r="C105" s="10">
        <v>1</v>
      </c>
      <c r="D105" s="10">
        <v>2</v>
      </c>
      <c r="E105" s="10">
        <v>3</v>
      </c>
      <c r="F105" s="20">
        <v>4</v>
      </c>
    </row>
    <row r="106" spans="1:10" x14ac:dyDescent="0.55000000000000004">
      <c r="A106" s="36" t="s">
        <v>12</v>
      </c>
      <c r="B106" s="1">
        <v>1</v>
      </c>
      <c r="C106" s="11" t="s">
        <v>14</v>
      </c>
      <c r="D106" s="1">
        <v>1</v>
      </c>
      <c r="E106" s="1"/>
      <c r="F106" s="1"/>
      <c r="G106" s="4">
        <f>SUMPRODUCT(C106:F109,$C$16:$F$19)</f>
        <v>0</v>
      </c>
      <c r="H106" s="17" t="s">
        <v>17</v>
      </c>
      <c r="I106" s="14">
        <v>1</v>
      </c>
      <c r="J106" t="b">
        <f>IF(G106&lt;=I106,TRUE,FALSE)</f>
        <v>1</v>
      </c>
    </row>
    <row r="107" spans="1:10" x14ac:dyDescent="0.55000000000000004">
      <c r="A107" s="36"/>
      <c r="B107" s="1">
        <v>2</v>
      </c>
      <c r="C107" s="1">
        <v>1</v>
      </c>
      <c r="D107" s="11"/>
      <c r="E107" s="1"/>
      <c r="F107" s="1"/>
    </row>
    <row r="108" spans="1:10" x14ac:dyDescent="0.55000000000000004">
      <c r="A108" s="36"/>
      <c r="B108" s="1">
        <v>3</v>
      </c>
      <c r="C108" s="1"/>
      <c r="D108" s="1"/>
      <c r="E108" s="11"/>
      <c r="F108" s="18"/>
    </row>
    <row r="109" spans="1:10" x14ac:dyDescent="0.55000000000000004">
      <c r="A109" s="36"/>
      <c r="B109" s="19">
        <v>4</v>
      </c>
      <c r="C109" s="1"/>
      <c r="D109" s="1"/>
      <c r="E109" s="1"/>
      <c r="F109" s="1"/>
    </row>
    <row r="110" spans="1:10" x14ac:dyDescent="0.55000000000000004">
      <c r="B110" s="14"/>
    </row>
    <row r="111" spans="1:10" x14ac:dyDescent="0.55000000000000004">
      <c r="B111" s="37" t="s">
        <v>16</v>
      </c>
      <c r="C111" s="37"/>
      <c r="D111" s="37"/>
      <c r="E111" s="37"/>
      <c r="F111" s="33"/>
    </row>
    <row r="112" spans="1:10" x14ac:dyDescent="0.55000000000000004">
      <c r="C112" s="38" t="s">
        <v>11</v>
      </c>
      <c r="D112" s="38"/>
      <c r="E112" s="38"/>
      <c r="F112" s="38"/>
    </row>
    <row r="113" spans="1:10" x14ac:dyDescent="0.55000000000000004">
      <c r="C113" s="10">
        <v>1</v>
      </c>
      <c r="D113" s="10">
        <v>2</v>
      </c>
      <c r="E113" s="10">
        <v>3</v>
      </c>
      <c r="F113" s="20">
        <v>4</v>
      </c>
    </row>
    <row r="114" spans="1:10" x14ac:dyDescent="0.55000000000000004">
      <c r="A114" s="36" t="s">
        <v>12</v>
      </c>
      <c r="B114" s="1">
        <v>1</v>
      </c>
      <c r="C114" s="11" t="s">
        <v>14</v>
      </c>
      <c r="D114" s="1"/>
      <c r="E114" s="1">
        <v>1</v>
      </c>
      <c r="F114" s="1"/>
      <c r="G114" s="4">
        <f>SUMPRODUCT(C114:F117,$C$16:$F$19)</f>
        <v>1</v>
      </c>
      <c r="H114" s="17" t="s">
        <v>17</v>
      </c>
      <c r="I114" s="14">
        <v>1</v>
      </c>
      <c r="J114" t="b">
        <f>IF(G114&lt;=I114,TRUE,FALSE)</f>
        <v>1</v>
      </c>
    </row>
    <row r="115" spans="1:10" x14ac:dyDescent="0.55000000000000004">
      <c r="A115" s="36"/>
      <c r="B115" s="1">
        <v>2</v>
      </c>
      <c r="C115" s="1"/>
      <c r="D115" s="11"/>
      <c r="E115" s="1"/>
      <c r="F115" s="1"/>
    </row>
    <row r="116" spans="1:10" x14ac:dyDescent="0.55000000000000004">
      <c r="A116" s="36"/>
      <c r="B116" s="1">
        <v>3</v>
      </c>
      <c r="C116" s="1">
        <v>1</v>
      </c>
      <c r="D116" s="1"/>
      <c r="E116" s="11"/>
      <c r="F116" s="18"/>
    </row>
    <row r="117" spans="1:10" x14ac:dyDescent="0.55000000000000004">
      <c r="A117" s="36"/>
      <c r="B117" s="19">
        <v>4</v>
      </c>
      <c r="C117" s="1"/>
      <c r="D117" s="1"/>
      <c r="E117" s="1"/>
      <c r="F117" s="1"/>
    </row>
    <row r="118" spans="1:10" x14ac:dyDescent="0.55000000000000004">
      <c r="B118" s="14"/>
    </row>
    <row r="119" spans="1:10" x14ac:dyDescent="0.55000000000000004">
      <c r="B119" s="37" t="s">
        <v>16</v>
      </c>
      <c r="C119" s="37"/>
      <c r="D119" s="37"/>
      <c r="E119" s="37"/>
      <c r="F119" s="33"/>
    </row>
    <row r="120" spans="1:10" x14ac:dyDescent="0.55000000000000004">
      <c r="C120" s="38" t="s">
        <v>11</v>
      </c>
      <c r="D120" s="38"/>
      <c r="E120" s="38"/>
      <c r="F120" s="38"/>
    </row>
    <row r="121" spans="1:10" x14ac:dyDescent="0.55000000000000004">
      <c r="C121" s="10">
        <v>1</v>
      </c>
      <c r="D121" s="10">
        <v>2</v>
      </c>
      <c r="E121" s="10">
        <v>3</v>
      </c>
      <c r="F121" s="20">
        <v>4</v>
      </c>
    </row>
    <row r="122" spans="1:10" x14ac:dyDescent="0.55000000000000004">
      <c r="A122" s="36" t="s">
        <v>12</v>
      </c>
      <c r="B122" s="1">
        <v>1</v>
      </c>
      <c r="C122" s="11" t="s">
        <v>14</v>
      </c>
      <c r="D122" s="1"/>
      <c r="E122" s="1"/>
      <c r="F122" s="1">
        <v>1</v>
      </c>
      <c r="G122" s="4">
        <f>SUMPRODUCT(C122:F125,$C$16:$F$19)</f>
        <v>1</v>
      </c>
      <c r="H122" s="17" t="s">
        <v>17</v>
      </c>
      <c r="I122" s="14">
        <v>1</v>
      </c>
      <c r="J122" t="b">
        <f>IF(G122&lt;=I122,TRUE,FALSE)</f>
        <v>1</v>
      </c>
    </row>
    <row r="123" spans="1:10" x14ac:dyDescent="0.55000000000000004">
      <c r="A123" s="36"/>
      <c r="B123" s="1">
        <v>2</v>
      </c>
      <c r="C123" s="1"/>
      <c r="D123" s="11"/>
      <c r="E123" s="1"/>
      <c r="F123" s="1"/>
    </row>
    <row r="124" spans="1:10" x14ac:dyDescent="0.55000000000000004">
      <c r="A124" s="36"/>
      <c r="B124" s="1">
        <v>3</v>
      </c>
      <c r="C124" s="1"/>
      <c r="D124" s="1"/>
      <c r="E124" s="11"/>
      <c r="F124" s="18"/>
    </row>
    <row r="125" spans="1:10" x14ac:dyDescent="0.55000000000000004">
      <c r="A125" s="36"/>
      <c r="B125" s="19">
        <v>4</v>
      </c>
      <c r="C125" s="1">
        <v>1</v>
      </c>
      <c r="D125" s="1"/>
      <c r="E125" s="1"/>
      <c r="F125" s="1"/>
    </row>
    <row r="126" spans="1:10" x14ac:dyDescent="0.55000000000000004">
      <c r="A126" s="12"/>
      <c r="B126" s="14"/>
      <c r="C126" s="4"/>
      <c r="D126" s="4"/>
      <c r="E126" s="4"/>
      <c r="F126" s="4"/>
    </row>
    <row r="127" spans="1:10" x14ac:dyDescent="0.55000000000000004">
      <c r="B127" s="37" t="s">
        <v>16</v>
      </c>
      <c r="C127" s="37"/>
      <c r="D127" s="37"/>
      <c r="E127" s="37"/>
      <c r="F127" s="33"/>
    </row>
    <row r="128" spans="1:10" x14ac:dyDescent="0.55000000000000004">
      <c r="C128" s="38" t="s">
        <v>11</v>
      </c>
      <c r="D128" s="38"/>
      <c r="E128" s="38"/>
      <c r="F128" s="38"/>
    </row>
    <row r="129" spans="1:10" x14ac:dyDescent="0.55000000000000004">
      <c r="C129" s="10">
        <v>1</v>
      </c>
      <c r="D129" s="10">
        <v>2</v>
      </c>
      <c r="E129" s="10">
        <v>3</v>
      </c>
      <c r="F129" s="20">
        <v>4</v>
      </c>
    </row>
    <row r="130" spans="1:10" x14ac:dyDescent="0.55000000000000004">
      <c r="A130" s="36" t="s">
        <v>12</v>
      </c>
      <c r="B130" s="1">
        <v>1</v>
      </c>
      <c r="C130" s="11" t="s">
        <v>14</v>
      </c>
      <c r="D130" s="1"/>
      <c r="E130" s="1"/>
      <c r="F130" s="1"/>
      <c r="G130" s="4">
        <f>SUMPRODUCT(C130:F133,$C$16:$F$19)</f>
        <v>1</v>
      </c>
      <c r="H130" s="17" t="s">
        <v>17</v>
      </c>
      <c r="I130" s="14">
        <v>1</v>
      </c>
      <c r="J130" t="b">
        <f>IF(G130&lt;=I130,TRUE,FALSE)</f>
        <v>1</v>
      </c>
    </row>
    <row r="131" spans="1:10" x14ac:dyDescent="0.55000000000000004">
      <c r="A131" s="36"/>
      <c r="B131" s="1">
        <v>2</v>
      </c>
      <c r="C131" s="1"/>
      <c r="D131" s="11"/>
      <c r="E131" s="1">
        <v>1</v>
      </c>
      <c r="F131" s="1"/>
    </row>
    <row r="132" spans="1:10" x14ac:dyDescent="0.55000000000000004">
      <c r="A132" s="36"/>
      <c r="B132" s="1">
        <v>3</v>
      </c>
      <c r="C132" s="1"/>
      <c r="D132" s="1">
        <v>1</v>
      </c>
      <c r="E132" s="11"/>
      <c r="F132" s="18"/>
    </row>
    <row r="133" spans="1:10" x14ac:dyDescent="0.55000000000000004">
      <c r="A133" s="36"/>
      <c r="B133" s="19">
        <v>4</v>
      </c>
      <c r="C133" s="1"/>
      <c r="D133" s="1"/>
      <c r="E133" s="1"/>
      <c r="F133" s="1"/>
    </row>
    <row r="134" spans="1:10" x14ac:dyDescent="0.55000000000000004">
      <c r="A134" s="12"/>
      <c r="B134" s="14"/>
      <c r="C134" s="4"/>
      <c r="D134" s="4"/>
      <c r="E134" s="4"/>
      <c r="F134" s="4"/>
    </row>
    <row r="135" spans="1:10" x14ac:dyDescent="0.55000000000000004">
      <c r="B135" s="37" t="s">
        <v>16</v>
      </c>
      <c r="C135" s="37"/>
      <c r="D135" s="37"/>
      <c r="E135" s="37"/>
      <c r="F135" s="33"/>
    </row>
    <row r="136" spans="1:10" x14ac:dyDescent="0.55000000000000004">
      <c r="C136" s="38" t="s">
        <v>11</v>
      </c>
      <c r="D136" s="38"/>
      <c r="E136" s="38"/>
      <c r="F136" s="38"/>
    </row>
    <row r="137" spans="1:10" x14ac:dyDescent="0.55000000000000004">
      <c r="C137" s="10">
        <v>1</v>
      </c>
      <c r="D137" s="10">
        <v>2</v>
      </c>
      <c r="E137" s="10">
        <v>3</v>
      </c>
      <c r="F137" s="20">
        <v>4</v>
      </c>
    </row>
    <row r="138" spans="1:10" x14ac:dyDescent="0.55000000000000004">
      <c r="A138" s="36" t="s">
        <v>12</v>
      </c>
      <c r="B138" s="1">
        <v>1</v>
      </c>
      <c r="C138" s="11" t="s">
        <v>14</v>
      </c>
      <c r="D138" s="1"/>
      <c r="E138" s="1"/>
      <c r="F138" s="1"/>
      <c r="G138" s="4">
        <f>SUMPRODUCT(C138:F141,$C$16:$F$19)</f>
        <v>1</v>
      </c>
      <c r="H138" s="17" t="s">
        <v>17</v>
      </c>
      <c r="I138" s="14">
        <v>1</v>
      </c>
      <c r="J138" t="b">
        <f>IF(G138&lt;=I138,TRUE,FALSE)</f>
        <v>1</v>
      </c>
    </row>
    <row r="139" spans="1:10" x14ac:dyDescent="0.55000000000000004">
      <c r="A139" s="36"/>
      <c r="B139" s="1">
        <v>2</v>
      </c>
      <c r="C139" s="1"/>
      <c r="D139" s="11"/>
      <c r="E139" s="1"/>
      <c r="F139" s="1">
        <v>1</v>
      </c>
    </row>
    <row r="140" spans="1:10" x14ac:dyDescent="0.55000000000000004">
      <c r="A140" s="36"/>
      <c r="B140" s="1">
        <v>3</v>
      </c>
      <c r="C140" s="1"/>
      <c r="D140" s="1"/>
      <c r="E140" s="11"/>
      <c r="F140" s="18"/>
    </row>
    <row r="141" spans="1:10" x14ac:dyDescent="0.55000000000000004">
      <c r="A141" s="36"/>
      <c r="B141" s="19">
        <v>4</v>
      </c>
      <c r="C141" s="1"/>
      <c r="D141" s="1">
        <v>1</v>
      </c>
      <c r="E141" s="1"/>
      <c r="F141" s="1"/>
    </row>
    <row r="142" spans="1:10" x14ac:dyDescent="0.55000000000000004">
      <c r="A142" s="12"/>
      <c r="B142" s="14"/>
      <c r="C142" s="4"/>
      <c r="D142" s="4"/>
      <c r="E142" s="4"/>
      <c r="F142" s="4"/>
    </row>
    <row r="143" spans="1:10" x14ac:dyDescent="0.55000000000000004">
      <c r="B143" s="37" t="s">
        <v>16</v>
      </c>
      <c r="C143" s="37"/>
      <c r="D143" s="37"/>
      <c r="E143" s="37"/>
      <c r="F143" s="33"/>
    </row>
    <row r="144" spans="1:10" x14ac:dyDescent="0.55000000000000004">
      <c r="C144" s="38" t="s">
        <v>11</v>
      </c>
      <c r="D144" s="38"/>
      <c r="E144" s="38"/>
      <c r="F144" s="38"/>
    </row>
    <row r="145" spans="1:10" x14ac:dyDescent="0.55000000000000004">
      <c r="C145" s="10">
        <v>1</v>
      </c>
      <c r="D145" s="10">
        <v>2</v>
      </c>
      <c r="E145" s="10">
        <v>3</v>
      </c>
      <c r="F145" s="20">
        <v>4</v>
      </c>
    </row>
    <row r="146" spans="1:10" x14ac:dyDescent="0.55000000000000004">
      <c r="A146" s="36" t="s">
        <v>12</v>
      </c>
      <c r="B146" s="1">
        <v>1</v>
      </c>
      <c r="C146" s="11" t="s">
        <v>14</v>
      </c>
      <c r="D146" s="1"/>
      <c r="E146" s="1"/>
      <c r="F146" s="1"/>
      <c r="G146" s="4">
        <f>SUMPRODUCT(C146:F149,$C$16:$F$19)</f>
        <v>0</v>
      </c>
      <c r="H146" s="17" t="s">
        <v>17</v>
      </c>
      <c r="I146" s="14">
        <v>1</v>
      </c>
      <c r="J146" t="b">
        <f>IF(G146&lt;=I146,TRUE,FALSE)</f>
        <v>1</v>
      </c>
    </row>
    <row r="147" spans="1:10" x14ac:dyDescent="0.55000000000000004">
      <c r="A147" s="36"/>
      <c r="B147" s="1">
        <v>2</v>
      </c>
      <c r="C147" s="1"/>
      <c r="D147" s="11"/>
      <c r="E147" s="1"/>
      <c r="F147" s="1"/>
    </row>
    <row r="148" spans="1:10" x14ac:dyDescent="0.55000000000000004">
      <c r="A148" s="36"/>
      <c r="B148" s="1">
        <v>3</v>
      </c>
      <c r="C148" s="1"/>
      <c r="D148" s="1"/>
      <c r="E148" s="11"/>
      <c r="F148" s="18">
        <v>1</v>
      </c>
    </row>
    <row r="149" spans="1:10" x14ac:dyDescent="0.55000000000000004">
      <c r="A149" s="36"/>
      <c r="B149" s="19">
        <v>4</v>
      </c>
      <c r="C149" s="1"/>
      <c r="D149" s="1"/>
      <c r="E149" s="1">
        <v>1</v>
      </c>
      <c r="F149" s="1"/>
    </row>
    <row r="150" spans="1:10" x14ac:dyDescent="0.55000000000000004">
      <c r="A150" s="12"/>
      <c r="B150" s="14"/>
      <c r="C150" s="4"/>
      <c r="D150" s="4"/>
      <c r="E150" s="4"/>
      <c r="F150" s="4"/>
    </row>
    <row r="151" spans="1:10" x14ac:dyDescent="0.55000000000000004">
      <c r="A151" s="12"/>
      <c r="B151" s="14"/>
      <c r="C151" s="4"/>
      <c r="D151" s="4"/>
      <c r="E151" s="4"/>
      <c r="F151" s="4"/>
    </row>
    <row r="152" spans="1:10" x14ac:dyDescent="0.55000000000000004">
      <c r="A152" s="12"/>
      <c r="B152" s="14"/>
      <c r="C152" s="4" t="s">
        <v>26</v>
      </c>
      <c r="D152" s="4"/>
      <c r="E152" s="4"/>
      <c r="F152" s="4"/>
    </row>
    <row r="153" spans="1:10" x14ac:dyDescent="0.55000000000000004">
      <c r="C153" s="1">
        <f>C20</f>
        <v>1</v>
      </c>
      <c r="D153" s="1">
        <f t="shared" ref="D153:F153" si="4">D20</f>
        <v>1</v>
      </c>
      <c r="E153" s="1">
        <f t="shared" si="4"/>
        <v>1</v>
      </c>
      <c r="F153" s="1">
        <f t="shared" si="4"/>
        <v>1</v>
      </c>
    </row>
    <row r="154" spans="1:10" x14ac:dyDescent="0.55000000000000004">
      <c r="C154" s="34" t="s">
        <v>15</v>
      </c>
      <c r="D154" s="34" t="s">
        <v>15</v>
      </c>
      <c r="E154" s="34" t="s">
        <v>15</v>
      </c>
      <c r="F154" s="34" t="s">
        <v>15</v>
      </c>
    </row>
    <row r="155" spans="1:10" x14ac:dyDescent="0.55000000000000004">
      <c r="C155" s="1">
        <v>1</v>
      </c>
      <c r="D155" s="1">
        <v>1</v>
      </c>
      <c r="E155" s="1">
        <v>1</v>
      </c>
      <c r="F155" s="1">
        <v>1</v>
      </c>
    </row>
    <row r="156" spans="1:10" x14ac:dyDescent="0.55000000000000004">
      <c r="C156" s="4"/>
      <c r="D156" s="4"/>
      <c r="E156" s="4"/>
      <c r="F156" s="4"/>
    </row>
    <row r="157" spans="1:10" x14ac:dyDescent="0.55000000000000004">
      <c r="C157" t="s">
        <v>27</v>
      </c>
    </row>
    <row r="158" spans="1:10" x14ac:dyDescent="0.55000000000000004">
      <c r="C158" s="1">
        <f>G16</f>
        <v>1</v>
      </c>
      <c r="D158" s="34" t="s">
        <v>15</v>
      </c>
      <c r="E158" s="1">
        <v>1</v>
      </c>
    </row>
    <row r="159" spans="1:10" x14ac:dyDescent="0.55000000000000004">
      <c r="C159" s="1">
        <f>G17</f>
        <v>1</v>
      </c>
      <c r="D159" s="34" t="s">
        <v>15</v>
      </c>
      <c r="E159" s="1">
        <v>1</v>
      </c>
    </row>
    <row r="160" spans="1:10" x14ac:dyDescent="0.55000000000000004">
      <c r="C160" s="1">
        <f>G18</f>
        <v>1</v>
      </c>
      <c r="D160" s="34" t="s">
        <v>15</v>
      </c>
      <c r="E160" s="1">
        <v>1</v>
      </c>
    </row>
    <row r="161" spans="3:5" x14ac:dyDescent="0.55000000000000004">
      <c r="C161" s="1">
        <f>G19</f>
        <v>1</v>
      </c>
      <c r="D161" s="34" t="s">
        <v>15</v>
      </c>
      <c r="E161" s="1">
        <v>1</v>
      </c>
    </row>
  </sheetData>
  <mergeCells count="55">
    <mergeCell ref="A146:A149"/>
    <mergeCell ref="A130:A133"/>
    <mergeCell ref="B135:E135"/>
    <mergeCell ref="C136:F136"/>
    <mergeCell ref="A138:A141"/>
    <mergeCell ref="B143:E143"/>
    <mergeCell ref="C144:F144"/>
    <mergeCell ref="A114:A117"/>
    <mergeCell ref="B119:E119"/>
    <mergeCell ref="C120:F120"/>
    <mergeCell ref="A122:A125"/>
    <mergeCell ref="B127:E127"/>
    <mergeCell ref="C128:F128"/>
    <mergeCell ref="A98:A101"/>
    <mergeCell ref="B103:E103"/>
    <mergeCell ref="C104:F104"/>
    <mergeCell ref="A106:A109"/>
    <mergeCell ref="B111:E111"/>
    <mergeCell ref="C112:F112"/>
    <mergeCell ref="A82:A85"/>
    <mergeCell ref="B87:E87"/>
    <mergeCell ref="C88:F88"/>
    <mergeCell ref="A90:A93"/>
    <mergeCell ref="B95:E95"/>
    <mergeCell ref="C96:F96"/>
    <mergeCell ref="A66:A69"/>
    <mergeCell ref="B71:E71"/>
    <mergeCell ref="C72:F72"/>
    <mergeCell ref="A74:A77"/>
    <mergeCell ref="B79:E79"/>
    <mergeCell ref="C80:F80"/>
    <mergeCell ref="A50:A53"/>
    <mergeCell ref="B55:E55"/>
    <mergeCell ref="C56:F56"/>
    <mergeCell ref="A58:A61"/>
    <mergeCell ref="B63:E63"/>
    <mergeCell ref="C64:F64"/>
    <mergeCell ref="A34:A37"/>
    <mergeCell ref="B39:E39"/>
    <mergeCell ref="C40:F40"/>
    <mergeCell ref="A42:A45"/>
    <mergeCell ref="B47:E47"/>
    <mergeCell ref="C48:F48"/>
    <mergeCell ref="A16:A19"/>
    <mergeCell ref="A23:A24"/>
    <mergeCell ref="C23:F23"/>
    <mergeCell ref="A25:A28"/>
    <mergeCell ref="B31:E31"/>
    <mergeCell ref="C32:F32"/>
    <mergeCell ref="D1:O3"/>
    <mergeCell ref="A6:B6"/>
    <mergeCell ref="C6:F6"/>
    <mergeCell ref="A8:A11"/>
    <mergeCell ref="A14:A15"/>
    <mergeCell ref="C14:F1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61"/>
  <sheetViews>
    <sheetView topLeftCell="A8" zoomScale="120" zoomScaleNormal="120" workbookViewId="0">
      <selection activeCell="C18" sqref="C18"/>
    </sheetView>
  </sheetViews>
  <sheetFormatPr defaultRowHeight="15.3" x14ac:dyDescent="0.55000000000000004"/>
  <cols>
    <col min="1" max="1" width="17.59765625" customWidth="1"/>
    <col min="2" max="2" width="8.75" customWidth="1"/>
    <col min="5" max="6" width="10.25" customWidth="1"/>
    <col min="7" max="7" width="5" customWidth="1"/>
    <col min="8" max="8" width="6.84765625" customWidth="1"/>
    <col min="9" max="9" width="4.5" customWidth="1"/>
    <col min="12" max="12" width="11.59765625" customWidth="1"/>
  </cols>
  <sheetData>
    <row r="1" spans="1:15" ht="31.5" customHeight="1" x14ac:dyDescent="0.55000000000000004">
      <c r="A1" s="32" t="s">
        <v>0</v>
      </c>
      <c r="B1" s="1">
        <f>SUMPRODUCT(C8:F11,C16:F19)</f>
        <v>38</v>
      </c>
      <c r="D1" s="41" t="s">
        <v>18</v>
      </c>
      <c r="E1" s="41"/>
      <c r="F1" s="41"/>
      <c r="G1" s="41"/>
      <c r="H1" s="41"/>
      <c r="I1" s="41"/>
      <c r="J1" s="41"/>
      <c r="K1" s="41"/>
      <c r="L1" s="41"/>
      <c r="M1" s="41"/>
      <c r="N1" s="41"/>
      <c r="O1" s="41"/>
    </row>
    <row r="2" spans="1:15" ht="23.25" customHeight="1" x14ac:dyDescent="0.55000000000000004">
      <c r="A2" s="32" t="s">
        <v>3</v>
      </c>
      <c r="B2" s="1">
        <f>CEILING(B1,1)</f>
        <v>38</v>
      </c>
      <c r="D2" s="41"/>
      <c r="E2" s="41"/>
      <c r="F2" s="41"/>
      <c r="G2" s="41"/>
      <c r="H2" s="41"/>
      <c r="I2" s="41"/>
      <c r="J2" s="41"/>
      <c r="K2" s="41"/>
      <c r="L2" s="41"/>
      <c r="M2" s="41"/>
      <c r="N2" s="41"/>
      <c r="O2" s="41"/>
    </row>
    <row r="3" spans="1:15" ht="23.25" customHeight="1" x14ac:dyDescent="0.55000000000000004">
      <c r="A3" s="32" t="s">
        <v>23</v>
      </c>
      <c r="B3" s="1" t="b">
        <f>IF(AND(D25,E25,E26,C26,C27,D27,F25,F26,F27,C28,D28,E28),TRUE,FALSE)</f>
        <v>1</v>
      </c>
      <c r="D3" s="41"/>
      <c r="E3" s="41"/>
      <c r="F3" s="41"/>
      <c r="G3" s="41"/>
      <c r="H3" s="41"/>
      <c r="I3" s="41"/>
      <c r="J3" s="41"/>
      <c r="K3" s="41"/>
      <c r="L3" s="41"/>
      <c r="M3" s="41"/>
      <c r="N3" s="41"/>
      <c r="O3" s="41"/>
    </row>
    <row r="4" spans="1:15" ht="23.25" customHeight="1" x14ac:dyDescent="0.55000000000000004">
      <c r="A4" s="32" t="s">
        <v>22</v>
      </c>
      <c r="B4" s="1" t="b">
        <f>AND(H16:H19,C21:F21,J34,J42,J50,J58,J66,J74,J82,J90,J98,J106,J114,J122,J130,J138,J146)</f>
        <v>1</v>
      </c>
      <c r="D4" s="27"/>
      <c r="E4" s="27"/>
      <c r="F4" s="27"/>
      <c r="G4" s="27"/>
      <c r="H4" s="27"/>
      <c r="I4" s="27"/>
      <c r="J4" s="27"/>
      <c r="K4" s="27"/>
      <c r="L4" s="27"/>
      <c r="M4" s="27"/>
      <c r="N4" s="27"/>
      <c r="O4" s="27"/>
    </row>
    <row r="5" spans="1:15" x14ac:dyDescent="0.55000000000000004">
      <c r="A5" s="3"/>
      <c r="B5" s="4"/>
    </row>
    <row r="6" spans="1:15" ht="31.5" customHeight="1" x14ac:dyDescent="0.55000000000000004">
      <c r="A6" s="42" t="s">
        <v>21</v>
      </c>
      <c r="B6" s="42"/>
      <c r="C6" s="38" t="s">
        <v>11</v>
      </c>
      <c r="D6" s="38"/>
      <c r="E6" s="38"/>
      <c r="F6" s="38"/>
    </row>
    <row r="7" spans="1:15" x14ac:dyDescent="0.55000000000000004">
      <c r="A7" s="4"/>
      <c r="B7" s="35"/>
      <c r="C7" s="6">
        <v>1</v>
      </c>
      <c r="D7" s="6">
        <v>2</v>
      </c>
      <c r="E7" s="6">
        <v>3</v>
      </c>
      <c r="F7" s="6">
        <v>4</v>
      </c>
    </row>
    <row r="8" spans="1:15" x14ac:dyDescent="0.55000000000000004">
      <c r="A8" s="36" t="s">
        <v>12</v>
      </c>
      <c r="B8" s="5">
        <v>1</v>
      </c>
      <c r="C8" s="11"/>
      <c r="D8" s="6">
        <v>9.5</v>
      </c>
      <c r="E8" s="6">
        <v>12</v>
      </c>
      <c r="F8" s="6">
        <v>10</v>
      </c>
    </row>
    <row r="9" spans="1:15" x14ac:dyDescent="0.55000000000000004">
      <c r="A9" s="36"/>
      <c r="B9" s="5">
        <v>2</v>
      </c>
      <c r="C9" s="6">
        <v>6</v>
      </c>
      <c r="D9" s="11"/>
      <c r="E9" s="6">
        <v>10</v>
      </c>
      <c r="F9" s="6">
        <v>14</v>
      </c>
    </row>
    <row r="10" spans="1:15" x14ac:dyDescent="0.55000000000000004">
      <c r="A10" s="36"/>
      <c r="B10" s="5">
        <v>3</v>
      </c>
      <c r="C10" s="6">
        <v>10</v>
      </c>
      <c r="D10" s="6">
        <v>11</v>
      </c>
      <c r="E10" s="11"/>
      <c r="F10" s="6">
        <v>12</v>
      </c>
    </row>
    <row r="11" spans="1:15" x14ac:dyDescent="0.55000000000000004">
      <c r="A11" s="36"/>
      <c r="B11" s="5">
        <v>4</v>
      </c>
      <c r="C11" s="6">
        <v>7</v>
      </c>
      <c r="D11" s="6">
        <v>8</v>
      </c>
      <c r="E11" s="6">
        <v>15</v>
      </c>
      <c r="F11" s="11"/>
    </row>
    <row r="12" spans="1:15" x14ac:dyDescent="0.55000000000000004">
      <c r="A12" s="3"/>
      <c r="B12" s="4"/>
    </row>
    <row r="13" spans="1:15" x14ac:dyDescent="0.55000000000000004">
      <c r="A13" s="7" t="s">
        <v>4</v>
      </c>
    </row>
    <row r="14" spans="1:15" x14ac:dyDescent="0.55000000000000004">
      <c r="A14" s="39" t="s">
        <v>1</v>
      </c>
      <c r="C14" s="38" t="s">
        <v>11</v>
      </c>
      <c r="D14" s="38"/>
      <c r="E14" s="38"/>
      <c r="F14" s="38"/>
    </row>
    <row r="15" spans="1:15" x14ac:dyDescent="0.55000000000000004">
      <c r="A15" s="40"/>
      <c r="C15" s="24">
        <v>1</v>
      </c>
      <c r="D15" s="24">
        <v>2</v>
      </c>
      <c r="E15" s="24">
        <v>3</v>
      </c>
      <c r="F15" s="25">
        <v>4</v>
      </c>
    </row>
    <row r="16" spans="1:15" x14ac:dyDescent="0.55000000000000004">
      <c r="A16" s="36" t="s">
        <v>12</v>
      </c>
      <c r="B16" s="22">
        <v>1</v>
      </c>
      <c r="C16" s="11">
        <v>0</v>
      </c>
      <c r="D16" s="1">
        <v>0</v>
      </c>
      <c r="E16" s="1">
        <v>1</v>
      </c>
      <c r="F16" s="1">
        <v>0</v>
      </c>
      <c r="G16" s="28">
        <f>SUM(C16:F16)</f>
        <v>1</v>
      </c>
      <c r="H16" s="1" t="b">
        <f>IF(G16=1,TRUE,FALSE)</f>
        <v>1</v>
      </c>
    </row>
    <row r="17" spans="1:9" x14ac:dyDescent="0.55000000000000004">
      <c r="A17" s="36"/>
      <c r="B17" s="22">
        <v>2</v>
      </c>
      <c r="C17" s="43">
        <v>1</v>
      </c>
      <c r="D17" s="11">
        <v>0</v>
      </c>
      <c r="E17" s="1">
        <v>0</v>
      </c>
      <c r="F17" s="1">
        <v>0</v>
      </c>
      <c r="G17" s="28">
        <f t="shared" ref="G17:G19" si="0">SUM(C17:F17)</f>
        <v>1</v>
      </c>
      <c r="H17" s="1" t="b">
        <f t="shared" ref="H17:H19" si="1">IF(G17=1,TRUE,FALSE)</f>
        <v>1</v>
      </c>
    </row>
    <row r="18" spans="1:9" x14ac:dyDescent="0.55000000000000004">
      <c r="A18" s="36"/>
      <c r="B18" s="22">
        <v>3</v>
      </c>
      <c r="C18" s="1">
        <v>0</v>
      </c>
      <c r="D18" s="1">
        <v>0</v>
      </c>
      <c r="E18" s="11">
        <v>0</v>
      </c>
      <c r="F18" s="18">
        <v>1</v>
      </c>
      <c r="G18" s="28">
        <f t="shared" si="0"/>
        <v>1</v>
      </c>
      <c r="H18" s="1" t="b">
        <f t="shared" si="1"/>
        <v>1</v>
      </c>
    </row>
    <row r="19" spans="1:9" x14ac:dyDescent="0.55000000000000004">
      <c r="A19" s="36"/>
      <c r="B19" s="23">
        <v>4</v>
      </c>
      <c r="C19" s="1">
        <v>0</v>
      </c>
      <c r="D19" s="1">
        <v>1</v>
      </c>
      <c r="E19" s="18">
        <v>0</v>
      </c>
      <c r="F19" s="11">
        <v>0</v>
      </c>
      <c r="G19" s="28">
        <f t="shared" si="0"/>
        <v>1</v>
      </c>
      <c r="H19" s="1" t="b">
        <f t="shared" si="1"/>
        <v>1</v>
      </c>
    </row>
    <row r="20" spans="1:9" x14ac:dyDescent="0.55000000000000004">
      <c r="A20" s="12"/>
      <c r="B20" s="4"/>
      <c r="C20" s="29">
        <f>SUM(C16:C19)</f>
        <v>1</v>
      </c>
      <c r="D20" s="29">
        <f t="shared" ref="D20:F20" si="2">SUM(D16:D19)</f>
        <v>1</v>
      </c>
      <c r="E20" s="29">
        <f t="shared" si="2"/>
        <v>1</v>
      </c>
      <c r="F20" s="29">
        <f t="shared" si="2"/>
        <v>1</v>
      </c>
    </row>
    <row r="21" spans="1:9" x14ac:dyDescent="0.55000000000000004">
      <c r="A21" s="12"/>
      <c r="B21" s="4"/>
      <c r="C21" s="1" t="b">
        <f>IF(C20=1,TRUE,FALSE)</f>
        <v>1</v>
      </c>
      <c r="D21" s="1" t="b">
        <f t="shared" ref="D21:F21" si="3">IF(D20=1,TRUE,FALSE)</f>
        <v>1</v>
      </c>
      <c r="E21" s="1" t="b">
        <f t="shared" si="3"/>
        <v>1</v>
      </c>
      <c r="F21" s="1" t="b">
        <f t="shared" si="3"/>
        <v>1</v>
      </c>
    </row>
    <row r="22" spans="1:9" x14ac:dyDescent="0.55000000000000004">
      <c r="A22" s="12"/>
      <c r="B22" s="4"/>
      <c r="C22" s="4"/>
      <c r="D22" s="4"/>
      <c r="E22" s="15"/>
      <c r="F22" s="15"/>
    </row>
    <row r="23" spans="1:9" x14ac:dyDescent="0.55000000000000004">
      <c r="A23" s="39" t="s">
        <v>13</v>
      </c>
      <c r="C23" s="38" t="s">
        <v>11</v>
      </c>
      <c r="D23" s="38"/>
      <c r="E23" s="38"/>
      <c r="F23" s="38"/>
    </row>
    <row r="24" spans="1:9" x14ac:dyDescent="0.55000000000000004">
      <c r="A24" s="40"/>
      <c r="C24" s="24">
        <v>1</v>
      </c>
      <c r="D24" s="24">
        <v>2</v>
      </c>
      <c r="E24" s="24">
        <v>3</v>
      </c>
      <c r="F24" s="25">
        <v>4</v>
      </c>
    </row>
    <row r="25" spans="1:9" x14ac:dyDescent="0.55000000000000004">
      <c r="A25" s="36" t="s">
        <v>12</v>
      </c>
      <c r="B25" s="1">
        <v>1</v>
      </c>
      <c r="C25" s="11"/>
      <c r="D25" s="1" t="b">
        <f>IF(D16=FLOOR(D16,1),TRUE,FALSE)</f>
        <v>1</v>
      </c>
      <c r="E25" s="1" t="b">
        <f>IF(E16=FLOOR(E16,1),TRUE,FALSE)</f>
        <v>1</v>
      </c>
      <c r="F25" s="1" t="b">
        <f>IF(F16=FLOOR(F16,1),TRUE,FALSE)</f>
        <v>1</v>
      </c>
    </row>
    <row r="26" spans="1:9" x14ac:dyDescent="0.55000000000000004">
      <c r="A26" s="36"/>
      <c r="B26" s="1">
        <v>2</v>
      </c>
      <c r="C26" s="1" t="b">
        <f>IF(C17=FLOOR(C17,1),TRUE,FALSE)</f>
        <v>1</v>
      </c>
      <c r="D26" s="11"/>
      <c r="E26" s="1" t="b">
        <f>IF(E17=FLOOR(E17,1),TRUE,FALSE)</f>
        <v>1</v>
      </c>
      <c r="F26" s="1" t="b">
        <f>IF(F17=FLOOR(F17,1),TRUE,FALSE)</f>
        <v>1</v>
      </c>
    </row>
    <row r="27" spans="1:9" x14ac:dyDescent="0.55000000000000004">
      <c r="A27" s="36"/>
      <c r="B27" s="1">
        <v>3</v>
      </c>
      <c r="C27" s="1" t="b">
        <f>IF(C18=FLOOR(C18,1),TRUE,FALSE)</f>
        <v>1</v>
      </c>
      <c r="D27" s="1" t="b">
        <f>IF(D18=FLOOR(D18,1),TRUE,FALSE)</f>
        <v>1</v>
      </c>
      <c r="E27" s="11"/>
      <c r="F27" s="1" t="b">
        <f>IF(F18=FLOOR(F18,1),TRUE,FALSE)</f>
        <v>1</v>
      </c>
    </row>
    <row r="28" spans="1:9" ht="15.6" customHeight="1" x14ac:dyDescent="0.55000000000000004">
      <c r="A28" s="36"/>
      <c r="B28" s="19">
        <v>4</v>
      </c>
      <c r="C28" s="1" t="b">
        <f>IF(C19=FLOOR(C19,1),TRUE,FALSE)</f>
        <v>1</v>
      </c>
      <c r="D28" s="1" t="b">
        <f>IF(D19=FLOOR(D19,1),TRUE,FALSE)</f>
        <v>1</v>
      </c>
      <c r="E28" s="1" t="b">
        <f>IF(E19=FLOOR(E19,1),TRUE,FALSE)</f>
        <v>1</v>
      </c>
      <c r="F28" s="11"/>
    </row>
    <row r="29" spans="1:9" x14ac:dyDescent="0.55000000000000004">
      <c r="A29" s="3"/>
      <c r="B29" s="4"/>
      <c r="C29" s="4"/>
      <c r="D29" s="4"/>
    </row>
    <row r="31" spans="1:9" x14ac:dyDescent="0.55000000000000004">
      <c r="A31" t="s">
        <v>2</v>
      </c>
      <c r="B31" s="37" t="s">
        <v>20</v>
      </c>
      <c r="C31" s="37"/>
      <c r="D31" s="37"/>
      <c r="E31" s="37"/>
      <c r="F31" s="33"/>
      <c r="G31" s="13"/>
      <c r="H31" s="13"/>
      <c r="I31" s="4"/>
    </row>
    <row r="32" spans="1:9" x14ac:dyDescent="0.55000000000000004">
      <c r="C32" s="38" t="s">
        <v>11</v>
      </c>
      <c r="D32" s="38"/>
      <c r="E32" s="38"/>
      <c r="F32" s="38"/>
      <c r="G32" s="4"/>
      <c r="H32" s="4"/>
      <c r="I32" s="4"/>
    </row>
    <row r="33" spans="1:10" x14ac:dyDescent="0.55000000000000004">
      <c r="C33" s="10">
        <v>1</v>
      </c>
      <c r="D33" s="10">
        <v>2</v>
      </c>
      <c r="E33" s="10">
        <v>3</v>
      </c>
      <c r="F33" s="20">
        <v>4</v>
      </c>
      <c r="G33" s="4"/>
      <c r="H33" s="4"/>
      <c r="I33" s="4"/>
    </row>
    <row r="34" spans="1:10" x14ac:dyDescent="0.55000000000000004">
      <c r="A34" s="36" t="s">
        <v>12</v>
      </c>
      <c r="B34" s="1">
        <v>1</v>
      </c>
      <c r="C34" s="11" t="s">
        <v>14</v>
      </c>
      <c r="D34" s="1">
        <v>1</v>
      </c>
      <c r="E34" s="1">
        <v>1</v>
      </c>
      <c r="F34" s="1">
        <v>1</v>
      </c>
      <c r="G34" s="4">
        <f>SUMPRODUCT(C34:F37,$C$16:$F$19)</f>
        <v>4</v>
      </c>
      <c r="H34" s="4" t="s">
        <v>15</v>
      </c>
      <c r="I34" s="14">
        <v>4</v>
      </c>
      <c r="J34" t="b">
        <f>IF(G34=I34,TRUE,FALSE)</f>
        <v>1</v>
      </c>
    </row>
    <row r="35" spans="1:10" x14ac:dyDescent="0.55000000000000004">
      <c r="A35" s="36"/>
      <c r="B35" s="1">
        <v>2</v>
      </c>
      <c r="C35" s="1">
        <v>1</v>
      </c>
      <c r="D35" s="11"/>
      <c r="E35" s="1">
        <v>1</v>
      </c>
      <c r="F35" s="1">
        <v>1</v>
      </c>
      <c r="G35" s="4"/>
      <c r="H35" s="4"/>
      <c r="I35" s="4"/>
    </row>
    <row r="36" spans="1:10" x14ac:dyDescent="0.55000000000000004">
      <c r="A36" s="36"/>
      <c r="B36" s="1">
        <v>3</v>
      </c>
      <c r="C36" s="1">
        <v>1</v>
      </c>
      <c r="D36" s="1">
        <v>1</v>
      </c>
      <c r="E36" s="11"/>
      <c r="F36" s="1">
        <v>1</v>
      </c>
      <c r="G36" s="14"/>
      <c r="H36" s="14"/>
      <c r="I36" s="4"/>
    </row>
    <row r="37" spans="1:10" x14ac:dyDescent="0.55000000000000004">
      <c r="A37" s="36"/>
      <c r="B37" s="19">
        <v>4</v>
      </c>
      <c r="C37" s="1">
        <v>1</v>
      </c>
      <c r="D37" s="1">
        <v>1</v>
      </c>
      <c r="E37" s="11"/>
      <c r="F37" s="1">
        <v>1</v>
      </c>
      <c r="G37" s="14"/>
      <c r="H37" s="14"/>
      <c r="I37" s="4"/>
    </row>
    <row r="38" spans="1:10" x14ac:dyDescent="0.55000000000000004">
      <c r="B38" s="4"/>
      <c r="C38" s="4"/>
      <c r="D38" s="4"/>
      <c r="E38" s="4"/>
      <c r="F38" s="4"/>
      <c r="G38" s="14"/>
      <c r="H38" s="14"/>
      <c r="I38" s="4"/>
    </row>
    <row r="39" spans="1:10" x14ac:dyDescent="0.55000000000000004">
      <c r="B39" s="37" t="s">
        <v>19</v>
      </c>
      <c r="C39" s="37"/>
      <c r="D39" s="37"/>
      <c r="E39" s="37"/>
      <c r="F39" s="33"/>
      <c r="G39" s="14"/>
      <c r="H39" s="14"/>
      <c r="I39" s="4"/>
    </row>
    <row r="40" spans="1:10" x14ac:dyDescent="0.55000000000000004">
      <c r="C40" s="38" t="s">
        <v>11</v>
      </c>
      <c r="D40" s="38"/>
      <c r="E40" s="38"/>
      <c r="F40" s="38"/>
      <c r="G40" s="14"/>
      <c r="H40" s="14"/>
      <c r="I40" s="4"/>
    </row>
    <row r="41" spans="1:10" x14ac:dyDescent="0.55000000000000004">
      <c r="C41" s="10">
        <v>1</v>
      </c>
      <c r="D41" s="10">
        <v>2</v>
      </c>
      <c r="E41" s="10">
        <v>3</v>
      </c>
      <c r="F41" s="20">
        <v>4</v>
      </c>
    </row>
    <row r="42" spans="1:10" x14ac:dyDescent="0.55000000000000004">
      <c r="A42" s="36" t="s">
        <v>12</v>
      </c>
      <c r="B42" s="1">
        <v>1</v>
      </c>
      <c r="C42" s="11"/>
      <c r="D42" s="1">
        <v>1</v>
      </c>
      <c r="E42" s="1"/>
      <c r="F42" s="1"/>
      <c r="G42" s="4">
        <f>SUMPRODUCT(C42:F45,$C$16:$F$19)</f>
        <v>0</v>
      </c>
      <c r="H42" s="17" t="s">
        <v>17</v>
      </c>
      <c r="I42" s="14">
        <v>2</v>
      </c>
      <c r="J42" t="b">
        <f>IF(G42&lt;=I42,TRUE,FALSE)</f>
        <v>1</v>
      </c>
    </row>
    <row r="43" spans="1:10" x14ac:dyDescent="0.55000000000000004">
      <c r="A43" s="36"/>
      <c r="B43" s="1">
        <v>2</v>
      </c>
      <c r="C43" s="1"/>
      <c r="D43" s="11"/>
      <c r="E43" s="1">
        <v>1</v>
      </c>
      <c r="F43" s="1"/>
    </row>
    <row r="44" spans="1:10" x14ac:dyDescent="0.55000000000000004">
      <c r="A44" s="36"/>
      <c r="B44" s="1">
        <v>3</v>
      </c>
      <c r="C44" s="1">
        <v>1</v>
      </c>
      <c r="D44" s="1"/>
      <c r="E44" s="11"/>
      <c r="F44" s="18"/>
    </row>
    <row r="45" spans="1:10" x14ac:dyDescent="0.55000000000000004">
      <c r="A45" s="36"/>
      <c r="B45" s="19">
        <v>4</v>
      </c>
      <c r="C45" s="1"/>
      <c r="D45" s="1"/>
      <c r="E45" s="18"/>
      <c r="F45" s="11"/>
    </row>
    <row r="47" spans="1:10" x14ac:dyDescent="0.55000000000000004">
      <c r="B47" s="37" t="s">
        <v>19</v>
      </c>
      <c r="C47" s="37"/>
      <c r="D47" s="37"/>
      <c r="E47" s="37"/>
      <c r="F47" s="33"/>
    </row>
    <row r="48" spans="1:10" x14ac:dyDescent="0.55000000000000004">
      <c r="C48" s="38" t="s">
        <v>11</v>
      </c>
      <c r="D48" s="38"/>
      <c r="E48" s="38"/>
      <c r="F48" s="38"/>
    </row>
    <row r="49" spans="1:10" x14ac:dyDescent="0.55000000000000004">
      <c r="C49" s="10">
        <v>1</v>
      </c>
      <c r="D49" s="10">
        <v>2</v>
      </c>
      <c r="E49" s="10">
        <v>3</v>
      </c>
      <c r="F49" s="20">
        <v>4</v>
      </c>
    </row>
    <row r="50" spans="1:10" x14ac:dyDescent="0.55000000000000004">
      <c r="A50" s="36" t="s">
        <v>12</v>
      </c>
      <c r="B50" s="1">
        <v>1</v>
      </c>
      <c r="C50" s="11" t="s">
        <v>14</v>
      </c>
      <c r="D50" s="1">
        <v>1</v>
      </c>
      <c r="E50" s="1"/>
      <c r="F50" s="1"/>
      <c r="G50" s="4">
        <f>SUMPRODUCT(C50:F53,$C$16:$F$19)</f>
        <v>0</v>
      </c>
      <c r="H50" s="17" t="s">
        <v>17</v>
      </c>
      <c r="I50" s="14">
        <v>2</v>
      </c>
      <c r="J50" t="b">
        <f>IF(G50&lt;=I50,TRUE,FALSE)</f>
        <v>1</v>
      </c>
    </row>
    <row r="51" spans="1:10" x14ac:dyDescent="0.55000000000000004">
      <c r="A51" s="36"/>
      <c r="B51" s="1">
        <v>2</v>
      </c>
      <c r="C51" s="1"/>
      <c r="D51" s="11"/>
      <c r="E51" s="1"/>
      <c r="F51" s="1">
        <v>1</v>
      </c>
    </row>
    <row r="52" spans="1:10" x14ac:dyDescent="0.55000000000000004">
      <c r="A52" s="36"/>
      <c r="B52" s="1">
        <v>3</v>
      </c>
      <c r="C52" s="1"/>
      <c r="D52" s="1"/>
      <c r="E52" s="11"/>
      <c r="F52" s="18"/>
    </row>
    <row r="53" spans="1:10" x14ac:dyDescent="0.55000000000000004">
      <c r="A53" s="36"/>
      <c r="B53" s="19">
        <v>4</v>
      </c>
      <c r="C53" s="1">
        <v>1</v>
      </c>
      <c r="D53" s="1"/>
      <c r="E53" s="18"/>
      <c r="F53" s="11"/>
    </row>
    <row r="55" spans="1:10" x14ac:dyDescent="0.55000000000000004">
      <c r="B55" s="37" t="s">
        <v>19</v>
      </c>
      <c r="C55" s="37"/>
      <c r="D55" s="37"/>
      <c r="E55" s="37"/>
      <c r="F55" s="33"/>
    </row>
    <row r="56" spans="1:10" x14ac:dyDescent="0.55000000000000004">
      <c r="C56" s="38" t="s">
        <v>11</v>
      </c>
      <c r="D56" s="38"/>
      <c r="E56" s="38"/>
      <c r="F56" s="38"/>
    </row>
    <row r="57" spans="1:10" x14ac:dyDescent="0.55000000000000004">
      <c r="C57" s="10">
        <v>1</v>
      </c>
      <c r="D57" s="10">
        <v>2</v>
      </c>
      <c r="E57" s="10">
        <v>3</v>
      </c>
      <c r="F57" s="20">
        <v>4</v>
      </c>
    </row>
    <row r="58" spans="1:10" x14ac:dyDescent="0.55000000000000004">
      <c r="A58" s="36" t="s">
        <v>12</v>
      </c>
      <c r="B58" s="1">
        <v>1</v>
      </c>
      <c r="C58" s="11" t="s">
        <v>14</v>
      </c>
      <c r="D58" s="1"/>
      <c r="E58" s="1">
        <v>1</v>
      </c>
      <c r="F58" s="1"/>
      <c r="G58" s="4">
        <f>SUMPRODUCT(C58:F61,$C$16:$F$19)</f>
        <v>2</v>
      </c>
      <c r="H58" s="17" t="s">
        <v>17</v>
      </c>
      <c r="I58" s="14">
        <v>2</v>
      </c>
      <c r="J58" t="b">
        <f>IF(G58&lt;=I58,TRUE,FALSE)</f>
        <v>1</v>
      </c>
    </row>
    <row r="59" spans="1:10" x14ac:dyDescent="0.55000000000000004">
      <c r="A59" s="36"/>
      <c r="B59" s="1">
        <v>2</v>
      </c>
      <c r="C59" s="1"/>
      <c r="D59" s="11"/>
      <c r="E59" s="1"/>
      <c r="F59" s="1"/>
    </row>
    <row r="60" spans="1:10" x14ac:dyDescent="0.55000000000000004">
      <c r="A60" s="36"/>
      <c r="B60" s="1">
        <v>3</v>
      </c>
      <c r="C60" s="1"/>
      <c r="D60" s="1"/>
      <c r="E60" s="11"/>
      <c r="F60" s="18">
        <v>1</v>
      </c>
    </row>
    <row r="61" spans="1:10" x14ac:dyDescent="0.55000000000000004">
      <c r="A61" s="36"/>
      <c r="B61" s="19">
        <v>4</v>
      </c>
      <c r="C61" s="1">
        <v>1</v>
      </c>
      <c r="D61" s="1"/>
      <c r="E61" s="18"/>
      <c r="F61" s="18"/>
    </row>
    <row r="62" spans="1:10" x14ac:dyDescent="0.55000000000000004">
      <c r="B62" s="4"/>
      <c r="C62" s="4"/>
      <c r="D62" s="4"/>
      <c r="E62" s="15"/>
      <c r="F62" s="15"/>
    </row>
    <row r="63" spans="1:10" x14ac:dyDescent="0.55000000000000004">
      <c r="B63" s="37" t="s">
        <v>19</v>
      </c>
      <c r="C63" s="37"/>
      <c r="D63" s="37"/>
      <c r="E63" s="37"/>
      <c r="F63" s="33"/>
    </row>
    <row r="64" spans="1:10" x14ac:dyDescent="0.55000000000000004">
      <c r="C64" s="38" t="s">
        <v>11</v>
      </c>
      <c r="D64" s="38"/>
      <c r="E64" s="38"/>
      <c r="F64" s="38"/>
    </row>
    <row r="65" spans="1:10" x14ac:dyDescent="0.55000000000000004">
      <c r="C65" s="10">
        <v>1</v>
      </c>
      <c r="D65" s="10">
        <v>2</v>
      </c>
      <c r="E65" s="10">
        <v>3</v>
      </c>
      <c r="F65" s="20">
        <v>4</v>
      </c>
    </row>
    <row r="66" spans="1:10" x14ac:dyDescent="0.55000000000000004">
      <c r="A66" s="36" t="s">
        <v>12</v>
      </c>
      <c r="B66" s="1">
        <v>1</v>
      </c>
      <c r="C66" s="11" t="s">
        <v>14</v>
      </c>
      <c r="D66" s="1"/>
      <c r="E66" s="1"/>
      <c r="F66" s="1"/>
      <c r="G66" s="4">
        <f>SUMPRODUCT(C66:F69,$C$16:$F$19)</f>
        <v>2</v>
      </c>
      <c r="H66" s="17" t="s">
        <v>17</v>
      </c>
      <c r="I66" s="14">
        <v>2</v>
      </c>
      <c r="J66" t="b">
        <f>IF(G66&lt;=I66,TRUE,FALSE)</f>
        <v>1</v>
      </c>
    </row>
    <row r="67" spans="1:10" x14ac:dyDescent="0.55000000000000004">
      <c r="A67" s="36"/>
      <c r="B67" s="1">
        <v>2</v>
      </c>
      <c r="C67" s="1"/>
      <c r="D67" s="11"/>
      <c r="E67" s="1">
        <v>1</v>
      </c>
      <c r="F67" s="1"/>
    </row>
    <row r="68" spans="1:10" x14ac:dyDescent="0.55000000000000004">
      <c r="A68" s="36"/>
      <c r="B68" s="1">
        <v>3</v>
      </c>
      <c r="C68" s="1"/>
      <c r="D68" s="1"/>
      <c r="E68" s="11"/>
      <c r="F68" s="18">
        <v>1</v>
      </c>
    </row>
    <row r="69" spans="1:10" x14ac:dyDescent="0.55000000000000004">
      <c r="A69" s="36"/>
      <c r="B69" s="19">
        <v>4</v>
      </c>
      <c r="C69" s="1"/>
      <c r="D69" s="1">
        <v>1</v>
      </c>
      <c r="E69" s="18"/>
      <c r="F69" s="18"/>
    </row>
    <row r="70" spans="1:10" x14ac:dyDescent="0.55000000000000004">
      <c r="B70" s="4"/>
      <c r="C70" s="4"/>
      <c r="D70" s="4"/>
      <c r="E70" s="4"/>
      <c r="F70" s="4"/>
      <c r="G70" s="14"/>
      <c r="H70" s="14"/>
      <c r="I70" s="4"/>
    </row>
    <row r="71" spans="1:10" x14ac:dyDescent="0.55000000000000004">
      <c r="B71" s="37" t="s">
        <v>19</v>
      </c>
      <c r="C71" s="37"/>
      <c r="D71" s="37"/>
      <c r="E71" s="37"/>
      <c r="F71" s="33"/>
      <c r="G71" s="14"/>
      <c r="H71" s="14"/>
      <c r="I71" s="4"/>
    </row>
    <row r="72" spans="1:10" x14ac:dyDescent="0.55000000000000004">
      <c r="C72" s="38" t="s">
        <v>11</v>
      </c>
      <c r="D72" s="38"/>
      <c r="E72" s="38"/>
      <c r="F72" s="38"/>
      <c r="G72" s="14"/>
      <c r="H72" s="14"/>
      <c r="I72" s="4"/>
    </row>
    <row r="73" spans="1:10" x14ac:dyDescent="0.55000000000000004">
      <c r="C73" s="10">
        <v>1</v>
      </c>
      <c r="D73" s="10">
        <v>2</v>
      </c>
      <c r="E73" s="10">
        <v>3</v>
      </c>
      <c r="F73" s="20">
        <v>4</v>
      </c>
    </row>
    <row r="74" spans="1:10" x14ac:dyDescent="0.55000000000000004">
      <c r="A74" s="36" t="s">
        <v>12</v>
      </c>
      <c r="B74" s="1">
        <v>1</v>
      </c>
      <c r="C74" s="11"/>
      <c r="D74" s="1"/>
      <c r="E74" s="1">
        <v>1</v>
      </c>
      <c r="F74" s="1"/>
      <c r="G74" s="4">
        <f>SUMPRODUCT(C74:F77,$C$16:$F$19)</f>
        <v>2</v>
      </c>
      <c r="H74" s="17" t="s">
        <v>17</v>
      </c>
      <c r="I74" s="14">
        <v>2</v>
      </c>
      <c r="J74" t="b">
        <f>IF(G74&lt;=I74,TRUE,FALSE)</f>
        <v>1</v>
      </c>
    </row>
    <row r="75" spans="1:10" x14ac:dyDescent="0.55000000000000004">
      <c r="A75" s="36"/>
      <c r="B75" s="1">
        <v>2</v>
      </c>
      <c r="C75" s="1">
        <v>1</v>
      </c>
      <c r="D75" s="11"/>
      <c r="E75" s="1"/>
      <c r="F75" s="1"/>
    </row>
    <row r="76" spans="1:10" x14ac:dyDescent="0.55000000000000004">
      <c r="A76" s="36"/>
      <c r="B76" s="1">
        <v>3</v>
      </c>
      <c r="C76" s="1"/>
      <c r="D76" s="1">
        <v>1</v>
      </c>
      <c r="E76" s="11"/>
      <c r="F76" s="18"/>
    </row>
    <row r="77" spans="1:10" x14ac:dyDescent="0.55000000000000004">
      <c r="A77" s="36"/>
      <c r="B77" s="19">
        <v>4</v>
      </c>
      <c r="C77" s="1"/>
      <c r="D77" s="1"/>
      <c r="E77" s="18"/>
      <c r="F77" s="11"/>
    </row>
    <row r="79" spans="1:10" x14ac:dyDescent="0.55000000000000004">
      <c r="B79" s="37" t="s">
        <v>19</v>
      </c>
      <c r="C79" s="37"/>
      <c r="D79" s="37"/>
      <c r="E79" s="37"/>
      <c r="F79" s="33"/>
    </row>
    <row r="80" spans="1:10" x14ac:dyDescent="0.55000000000000004">
      <c r="C80" s="38" t="s">
        <v>11</v>
      </c>
      <c r="D80" s="38"/>
      <c r="E80" s="38"/>
      <c r="F80" s="38"/>
    </row>
    <row r="81" spans="1:10" x14ac:dyDescent="0.55000000000000004">
      <c r="C81" s="10">
        <v>1</v>
      </c>
      <c r="D81" s="10">
        <v>2</v>
      </c>
      <c r="E81" s="10">
        <v>3</v>
      </c>
      <c r="F81" s="20">
        <v>4</v>
      </c>
    </row>
    <row r="82" spans="1:10" x14ac:dyDescent="0.55000000000000004">
      <c r="A82" s="36" t="s">
        <v>12</v>
      </c>
      <c r="B82" s="1">
        <v>1</v>
      </c>
      <c r="C82" s="11" t="s">
        <v>14</v>
      </c>
      <c r="D82" s="1"/>
      <c r="E82" s="1"/>
      <c r="F82" s="1">
        <v>1</v>
      </c>
      <c r="G82" s="4">
        <f>SUMPRODUCT(C82:F85,$C$16:$F$19)</f>
        <v>2</v>
      </c>
      <c r="H82" s="17" t="s">
        <v>17</v>
      </c>
      <c r="I82" s="14">
        <v>2</v>
      </c>
      <c r="J82" t="b">
        <f>IF(G82&lt;=I82,TRUE,FALSE)</f>
        <v>1</v>
      </c>
    </row>
    <row r="83" spans="1:10" x14ac:dyDescent="0.55000000000000004">
      <c r="A83" s="36"/>
      <c r="B83" s="1">
        <v>2</v>
      </c>
      <c r="C83" s="1">
        <v>1</v>
      </c>
      <c r="D83" s="11"/>
      <c r="E83" s="1"/>
      <c r="F83" s="1"/>
    </row>
    <row r="84" spans="1:10" x14ac:dyDescent="0.55000000000000004">
      <c r="A84" s="36"/>
      <c r="B84" s="1">
        <v>3</v>
      </c>
      <c r="C84" s="1"/>
      <c r="D84" s="1"/>
      <c r="E84" s="11"/>
      <c r="F84" s="18"/>
    </row>
    <row r="85" spans="1:10" x14ac:dyDescent="0.55000000000000004">
      <c r="A85" s="36"/>
      <c r="B85" s="19">
        <v>4</v>
      </c>
      <c r="C85" s="1"/>
      <c r="D85" s="1">
        <v>1</v>
      </c>
      <c r="E85" s="18"/>
      <c r="F85" s="11"/>
    </row>
    <row r="87" spans="1:10" x14ac:dyDescent="0.55000000000000004">
      <c r="B87" s="37" t="s">
        <v>19</v>
      </c>
      <c r="C87" s="37"/>
      <c r="D87" s="37"/>
      <c r="E87" s="37"/>
      <c r="F87" s="33"/>
    </row>
    <row r="88" spans="1:10" x14ac:dyDescent="0.55000000000000004">
      <c r="C88" s="38" t="s">
        <v>11</v>
      </c>
      <c r="D88" s="38"/>
      <c r="E88" s="38"/>
      <c r="F88" s="38"/>
    </row>
    <row r="89" spans="1:10" x14ac:dyDescent="0.55000000000000004">
      <c r="C89" s="10">
        <v>1</v>
      </c>
      <c r="D89" s="10">
        <v>2</v>
      </c>
      <c r="E89" s="10">
        <v>3</v>
      </c>
      <c r="F89" s="20">
        <v>4</v>
      </c>
    </row>
    <row r="90" spans="1:10" x14ac:dyDescent="0.55000000000000004">
      <c r="A90" s="36" t="s">
        <v>12</v>
      </c>
      <c r="B90" s="1">
        <v>1</v>
      </c>
      <c r="C90" s="11" t="s">
        <v>14</v>
      </c>
      <c r="D90" s="1"/>
      <c r="E90" s="1">
        <v>1</v>
      </c>
      <c r="F90" s="1"/>
      <c r="G90" s="4">
        <f>SUMPRODUCT(C90:F93,$C$16:$F$19)</f>
        <v>2</v>
      </c>
      <c r="H90" s="17" t="s">
        <v>17</v>
      </c>
      <c r="I90" s="14">
        <v>2</v>
      </c>
      <c r="J90" t="b">
        <f>IF(G90&lt;=I90,TRUE,FALSE)</f>
        <v>1</v>
      </c>
    </row>
    <row r="91" spans="1:10" x14ac:dyDescent="0.55000000000000004">
      <c r="A91" s="36"/>
      <c r="B91" s="1">
        <v>2</v>
      </c>
      <c r="C91" s="1"/>
      <c r="D91" s="11"/>
      <c r="E91" s="1"/>
      <c r="F91" s="1"/>
    </row>
    <row r="92" spans="1:10" x14ac:dyDescent="0.55000000000000004">
      <c r="A92" s="36"/>
      <c r="B92" s="1">
        <v>3</v>
      </c>
      <c r="C92" s="1"/>
      <c r="D92" s="1"/>
      <c r="E92" s="11"/>
      <c r="F92" s="18">
        <v>1</v>
      </c>
    </row>
    <row r="93" spans="1:10" x14ac:dyDescent="0.55000000000000004">
      <c r="A93" s="36"/>
      <c r="B93" s="19">
        <v>4</v>
      </c>
      <c r="C93" s="1">
        <v>1</v>
      </c>
      <c r="D93" s="1"/>
      <c r="E93" s="18"/>
      <c r="F93" s="18"/>
    </row>
    <row r="94" spans="1:10" x14ac:dyDescent="0.55000000000000004">
      <c r="B94" s="4"/>
      <c r="C94" s="4"/>
      <c r="D94" s="4"/>
      <c r="E94" s="15"/>
      <c r="F94" s="15"/>
    </row>
    <row r="95" spans="1:10" x14ac:dyDescent="0.55000000000000004">
      <c r="B95" s="37" t="s">
        <v>19</v>
      </c>
      <c r="C95" s="37"/>
      <c r="D95" s="37"/>
      <c r="E95" s="37"/>
      <c r="F95" s="33"/>
    </row>
    <row r="96" spans="1:10" x14ac:dyDescent="0.55000000000000004">
      <c r="C96" s="38" t="s">
        <v>11</v>
      </c>
      <c r="D96" s="38"/>
      <c r="E96" s="38"/>
      <c r="F96" s="38"/>
    </row>
    <row r="97" spans="1:10" x14ac:dyDescent="0.55000000000000004">
      <c r="C97" s="10">
        <v>1</v>
      </c>
      <c r="D97" s="10">
        <v>2</v>
      </c>
      <c r="E97" s="10">
        <v>3</v>
      </c>
      <c r="F97" s="20">
        <v>4</v>
      </c>
    </row>
    <row r="98" spans="1:10" x14ac:dyDescent="0.55000000000000004">
      <c r="A98" s="36" t="s">
        <v>12</v>
      </c>
      <c r="B98" s="1">
        <v>1</v>
      </c>
      <c r="C98" s="11" t="s">
        <v>14</v>
      </c>
      <c r="D98" s="1"/>
      <c r="E98" s="1"/>
      <c r="F98" s="1"/>
      <c r="G98" s="4">
        <f>SUMPRODUCT(C98:F101,$C$16:$F$19)</f>
        <v>0</v>
      </c>
      <c r="H98" s="17" t="s">
        <v>17</v>
      </c>
      <c r="I98" s="14">
        <v>2</v>
      </c>
      <c r="J98" t="b">
        <f>IF(G98&lt;=I98,TRUE,FALSE)</f>
        <v>1</v>
      </c>
    </row>
    <row r="99" spans="1:10" x14ac:dyDescent="0.55000000000000004">
      <c r="A99" s="36"/>
      <c r="B99" s="1">
        <v>2</v>
      </c>
      <c r="C99" s="1"/>
      <c r="D99" s="11"/>
      <c r="E99" s="1"/>
      <c r="F99" s="1">
        <v>1</v>
      </c>
    </row>
    <row r="100" spans="1:10" x14ac:dyDescent="0.55000000000000004">
      <c r="A100" s="36"/>
      <c r="B100" s="1">
        <v>3</v>
      </c>
      <c r="C100" s="1"/>
      <c r="D100" s="1">
        <v>1</v>
      </c>
      <c r="E100" s="11"/>
      <c r="F100" s="18"/>
    </row>
    <row r="101" spans="1:10" x14ac:dyDescent="0.55000000000000004">
      <c r="A101" s="36"/>
      <c r="B101" s="19">
        <v>4</v>
      </c>
      <c r="C101" s="1"/>
      <c r="D101" s="1"/>
      <c r="E101" s="18">
        <v>1</v>
      </c>
      <c r="F101" s="18"/>
    </row>
    <row r="102" spans="1:10" x14ac:dyDescent="0.55000000000000004">
      <c r="B102" s="4"/>
      <c r="C102" s="4"/>
      <c r="D102" s="4"/>
      <c r="E102" s="15"/>
      <c r="F102" s="15"/>
    </row>
    <row r="103" spans="1:10" x14ac:dyDescent="0.55000000000000004">
      <c r="B103" s="37" t="s">
        <v>16</v>
      </c>
      <c r="C103" s="37"/>
      <c r="D103" s="37"/>
      <c r="E103" s="37"/>
      <c r="F103" s="33"/>
    </row>
    <row r="104" spans="1:10" x14ac:dyDescent="0.55000000000000004">
      <c r="C104" s="38" t="s">
        <v>11</v>
      </c>
      <c r="D104" s="38"/>
      <c r="E104" s="38"/>
      <c r="F104" s="38"/>
    </row>
    <row r="105" spans="1:10" x14ac:dyDescent="0.55000000000000004">
      <c r="C105" s="10">
        <v>1</v>
      </c>
      <c r="D105" s="10">
        <v>2</v>
      </c>
      <c r="E105" s="10">
        <v>3</v>
      </c>
      <c r="F105" s="20">
        <v>4</v>
      </c>
    </row>
    <row r="106" spans="1:10" x14ac:dyDescent="0.55000000000000004">
      <c r="A106" s="36" t="s">
        <v>12</v>
      </c>
      <c r="B106" s="1">
        <v>1</v>
      </c>
      <c r="C106" s="11" t="s">
        <v>14</v>
      </c>
      <c r="D106" s="1">
        <v>1</v>
      </c>
      <c r="E106" s="1"/>
      <c r="F106" s="1"/>
      <c r="G106" s="4">
        <f>SUMPRODUCT(C106:F109,$C$16:$F$19)</f>
        <v>1</v>
      </c>
      <c r="H106" s="17" t="s">
        <v>17</v>
      </c>
      <c r="I106" s="14">
        <v>1</v>
      </c>
      <c r="J106" t="b">
        <f>IF(G106&lt;=I106,TRUE,FALSE)</f>
        <v>1</v>
      </c>
    </row>
    <row r="107" spans="1:10" x14ac:dyDescent="0.55000000000000004">
      <c r="A107" s="36"/>
      <c r="B107" s="1">
        <v>2</v>
      </c>
      <c r="C107" s="1">
        <v>1</v>
      </c>
      <c r="D107" s="11"/>
      <c r="E107" s="1"/>
      <c r="F107" s="1"/>
    </row>
    <row r="108" spans="1:10" x14ac:dyDescent="0.55000000000000004">
      <c r="A108" s="36"/>
      <c r="B108" s="1">
        <v>3</v>
      </c>
      <c r="C108" s="1"/>
      <c r="D108" s="1"/>
      <c r="E108" s="11"/>
      <c r="F108" s="18"/>
    </row>
    <row r="109" spans="1:10" x14ac:dyDescent="0.55000000000000004">
      <c r="A109" s="36"/>
      <c r="B109" s="19">
        <v>4</v>
      </c>
      <c r="C109" s="1"/>
      <c r="D109" s="1"/>
      <c r="E109" s="1"/>
      <c r="F109" s="1"/>
    </row>
    <row r="110" spans="1:10" x14ac:dyDescent="0.55000000000000004">
      <c r="B110" s="14"/>
    </row>
    <row r="111" spans="1:10" x14ac:dyDescent="0.55000000000000004">
      <c r="B111" s="37" t="s">
        <v>16</v>
      </c>
      <c r="C111" s="37"/>
      <c r="D111" s="37"/>
      <c r="E111" s="37"/>
      <c r="F111" s="33"/>
    </row>
    <row r="112" spans="1:10" x14ac:dyDescent="0.55000000000000004">
      <c r="C112" s="38" t="s">
        <v>11</v>
      </c>
      <c r="D112" s="38"/>
      <c r="E112" s="38"/>
      <c r="F112" s="38"/>
    </row>
    <row r="113" spans="1:10" x14ac:dyDescent="0.55000000000000004">
      <c r="C113" s="10">
        <v>1</v>
      </c>
      <c r="D113" s="10">
        <v>2</v>
      </c>
      <c r="E113" s="10">
        <v>3</v>
      </c>
      <c r="F113" s="20">
        <v>4</v>
      </c>
    </row>
    <row r="114" spans="1:10" x14ac:dyDescent="0.55000000000000004">
      <c r="A114" s="36" t="s">
        <v>12</v>
      </c>
      <c r="B114" s="1">
        <v>1</v>
      </c>
      <c r="C114" s="11" t="s">
        <v>14</v>
      </c>
      <c r="D114" s="1"/>
      <c r="E114" s="1">
        <v>1</v>
      </c>
      <c r="F114" s="1"/>
      <c r="G114" s="4">
        <f>SUMPRODUCT(C114:F117,$C$16:$F$19)</f>
        <v>1</v>
      </c>
      <c r="H114" s="17" t="s">
        <v>17</v>
      </c>
      <c r="I114" s="14">
        <v>1</v>
      </c>
      <c r="J114" t="b">
        <f>IF(G114&lt;=I114,TRUE,FALSE)</f>
        <v>1</v>
      </c>
    </row>
    <row r="115" spans="1:10" x14ac:dyDescent="0.55000000000000004">
      <c r="A115" s="36"/>
      <c r="B115" s="1">
        <v>2</v>
      </c>
      <c r="C115" s="1"/>
      <c r="D115" s="11"/>
      <c r="E115" s="1"/>
      <c r="F115" s="1"/>
    </row>
    <row r="116" spans="1:10" x14ac:dyDescent="0.55000000000000004">
      <c r="A116" s="36"/>
      <c r="B116" s="1">
        <v>3</v>
      </c>
      <c r="C116" s="1">
        <v>1</v>
      </c>
      <c r="D116" s="1"/>
      <c r="E116" s="11"/>
      <c r="F116" s="18"/>
    </row>
    <row r="117" spans="1:10" x14ac:dyDescent="0.55000000000000004">
      <c r="A117" s="36"/>
      <c r="B117" s="19">
        <v>4</v>
      </c>
      <c r="C117" s="1"/>
      <c r="D117" s="1"/>
      <c r="E117" s="1"/>
      <c r="F117" s="1"/>
    </row>
    <row r="118" spans="1:10" x14ac:dyDescent="0.55000000000000004">
      <c r="B118" s="14"/>
    </row>
    <row r="119" spans="1:10" x14ac:dyDescent="0.55000000000000004">
      <c r="B119" s="37" t="s">
        <v>16</v>
      </c>
      <c r="C119" s="37"/>
      <c r="D119" s="37"/>
      <c r="E119" s="37"/>
      <c r="F119" s="33"/>
    </row>
    <row r="120" spans="1:10" x14ac:dyDescent="0.55000000000000004">
      <c r="C120" s="38" t="s">
        <v>11</v>
      </c>
      <c r="D120" s="38"/>
      <c r="E120" s="38"/>
      <c r="F120" s="38"/>
    </row>
    <row r="121" spans="1:10" x14ac:dyDescent="0.55000000000000004">
      <c r="C121" s="10">
        <v>1</v>
      </c>
      <c r="D121" s="10">
        <v>2</v>
      </c>
      <c r="E121" s="10">
        <v>3</v>
      </c>
      <c r="F121" s="20">
        <v>4</v>
      </c>
    </row>
    <row r="122" spans="1:10" x14ac:dyDescent="0.55000000000000004">
      <c r="A122" s="36" t="s">
        <v>12</v>
      </c>
      <c r="B122" s="1">
        <v>1</v>
      </c>
      <c r="C122" s="11" t="s">
        <v>14</v>
      </c>
      <c r="D122" s="1"/>
      <c r="E122" s="1"/>
      <c r="F122" s="1">
        <v>1</v>
      </c>
      <c r="G122" s="4">
        <f>SUMPRODUCT(C122:F125,$C$16:$F$19)</f>
        <v>0</v>
      </c>
      <c r="H122" s="17" t="s">
        <v>17</v>
      </c>
      <c r="I122" s="14">
        <v>1</v>
      </c>
      <c r="J122" t="b">
        <f>IF(G122&lt;=I122,TRUE,FALSE)</f>
        <v>1</v>
      </c>
    </row>
    <row r="123" spans="1:10" x14ac:dyDescent="0.55000000000000004">
      <c r="A123" s="36"/>
      <c r="B123" s="1">
        <v>2</v>
      </c>
      <c r="C123" s="1"/>
      <c r="D123" s="11"/>
      <c r="E123" s="1"/>
      <c r="F123" s="1"/>
    </row>
    <row r="124" spans="1:10" x14ac:dyDescent="0.55000000000000004">
      <c r="A124" s="36"/>
      <c r="B124" s="1">
        <v>3</v>
      </c>
      <c r="C124" s="1"/>
      <c r="D124" s="1"/>
      <c r="E124" s="11"/>
      <c r="F124" s="18"/>
    </row>
    <row r="125" spans="1:10" x14ac:dyDescent="0.55000000000000004">
      <c r="A125" s="36"/>
      <c r="B125" s="19">
        <v>4</v>
      </c>
      <c r="C125" s="1">
        <v>1</v>
      </c>
      <c r="D125" s="1"/>
      <c r="E125" s="1"/>
      <c r="F125" s="1"/>
    </row>
    <row r="126" spans="1:10" x14ac:dyDescent="0.55000000000000004">
      <c r="A126" s="12"/>
      <c r="B126" s="14"/>
      <c r="C126" s="4"/>
      <c r="D126" s="4"/>
      <c r="E126" s="4"/>
      <c r="F126" s="4"/>
    </row>
    <row r="127" spans="1:10" x14ac:dyDescent="0.55000000000000004">
      <c r="B127" s="37" t="s">
        <v>16</v>
      </c>
      <c r="C127" s="37"/>
      <c r="D127" s="37"/>
      <c r="E127" s="37"/>
      <c r="F127" s="33"/>
    </row>
    <row r="128" spans="1:10" x14ac:dyDescent="0.55000000000000004">
      <c r="C128" s="38" t="s">
        <v>11</v>
      </c>
      <c r="D128" s="38"/>
      <c r="E128" s="38"/>
      <c r="F128" s="38"/>
    </row>
    <row r="129" spans="1:10" x14ac:dyDescent="0.55000000000000004">
      <c r="C129" s="10">
        <v>1</v>
      </c>
      <c r="D129" s="10">
        <v>2</v>
      </c>
      <c r="E129" s="10">
        <v>3</v>
      </c>
      <c r="F129" s="20">
        <v>4</v>
      </c>
    </row>
    <row r="130" spans="1:10" x14ac:dyDescent="0.55000000000000004">
      <c r="A130" s="36" t="s">
        <v>12</v>
      </c>
      <c r="B130" s="1">
        <v>1</v>
      </c>
      <c r="C130" s="11" t="s">
        <v>14</v>
      </c>
      <c r="D130" s="1"/>
      <c r="E130" s="1"/>
      <c r="F130" s="1"/>
      <c r="G130" s="4">
        <f>SUMPRODUCT(C130:F133,$C$16:$F$19)</f>
        <v>0</v>
      </c>
      <c r="H130" s="17" t="s">
        <v>17</v>
      </c>
      <c r="I130" s="14">
        <v>1</v>
      </c>
      <c r="J130" t="b">
        <f>IF(G130&lt;=I130,TRUE,FALSE)</f>
        <v>1</v>
      </c>
    </row>
    <row r="131" spans="1:10" x14ac:dyDescent="0.55000000000000004">
      <c r="A131" s="36"/>
      <c r="B131" s="1">
        <v>2</v>
      </c>
      <c r="C131" s="1"/>
      <c r="D131" s="11"/>
      <c r="E131" s="1">
        <v>1</v>
      </c>
      <c r="F131" s="1"/>
    </row>
    <row r="132" spans="1:10" x14ac:dyDescent="0.55000000000000004">
      <c r="A132" s="36"/>
      <c r="B132" s="1">
        <v>3</v>
      </c>
      <c r="C132" s="1"/>
      <c r="D132" s="1">
        <v>1</v>
      </c>
      <c r="E132" s="11"/>
      <c r="F132" s="18"/>
    </row>
    <row r="133" spans="1:10" x14ac:dyDescent="0.55000000000000004">
      <c r="A133" s="36"/>
      <c r="B133" s="19">
        <v>4</v>
      </c>
      <c r="C133" s="1"/>
      <c r="D133" s="1"/>
      <c r="E133" s="1"/>
      <c r="F133" s="1"/>
    </row>
    <row r="134" spans="1:10" x14ac:dyDescent="0.55000000000000004">
      <c r="A134" s="12"/>
      <c r="B134" s="14"/>
      <c r="C134" s="4"/>
      <c r="D134" s="4"/>
      <c r="E134" s="4"/>
      <c r="F134" s="4"/>
    </row>
    <row r="135" spans="1:10" x14ac:dyDescent="0.55000000000000004">
      <c r="B135" s="37" t="s">
        <v>16</v>
      </c>
      <c r="C135" s="37"/>
      <c r="D135" s="37"/>
      <c r="E135" s="37"/>
      <c r="F135" s="33"/>
    </row>
    <row r="136" spans="1:10" x14ac:dyDescent="0.55000000000000004">
      <c r="C136" s="38" t="s">
        <v>11</v>
      </c>
      <c r="D136" s="38"/>
      <c r="E136" s="38"/>
      <c r="F136" s="38"/>
    </row>
    <row r="137" spans="1:10" x14ac:dyDescent="0.55000000000000004">
      <c r="C137" s="10">
        <v>1</v>
      </c>
      <c r="D137" s="10">
        <v>2</v>
      </c>
      <c r="E137" s="10">
        <v>3</v>
      </c>
      <c r="F137" s="20">
        <v>4</v>
      </c>
    </row>
    <row r="138" spans="1:10" x14ac:dyDescent="0.55000000000000004">
      <c r="A138" s="36" t="s">
        <v>12</v>
      </c>
      <c r="B138" s="1">
        <v>1</v>
      </c>
      <c r="C138" s="11" t="s">
        <v>14</v>
      </c>
      <c r="D138" s="1"/>
      <c r="E138" s="1"/>
      <c r="F138" s="1"/>
      <c r="G138" s="4">
        <f>SUMPRODUCT(C138:F141,$C$16:$F$19)</f>
        <v>1</v>
      </c>
      <c r="H138" s="17" t="s">
        <v>17</v>
      </c>
      <c r="I138" s="14">
        <v>1</v>
      </c>
      <c r="J138" t="b">
        <f>IF(G138&lt;=I138,TRUE,FALSE)</f>
        <v>1</v>
      </c>
    </row>
    <row r="139" spans="1:10" x14ac:dyDescent="0.55000000000000004">
      <c r="A139" s="36"/>
      <c r="B139" s="1">
        <v>2</v>
      </c>
      <c r="C139" s="1"/>
      <c r="D139" s="11"/>
      <c r="E139" s="1"/>
      <c r="F139" s="1">
        <v>1</v>
      </c>
    </row>
    <row r="140" spans="1:10" x14ac:dyDescent="0.55000000000000004">
      <c r="A140" s="36"/>
      <c r="B140" s="1">
        <v>3</v>
      </c>
      <c r="C140" s="1"/>
      <c r="D140" s="1"/>
      <c r="E140" s="11"/>
      <c r="F140" s="18"/>
    </row>
    <row r="141" spans="1:10" x14ac:dyDescent="0.55000000000000004">
      <c r="A141" s="36"/>
      <c r="B141" s="19">
        <v>4</v>
      </c>
      <c r="C141" s="1"/>
      <c r="D141" s="1">
        <v>1</v>
      </c>
      <c r="E141" s="1"/>
      <c r="F141" s="1"/>
    </row>
    <row r="142" spans="1:10" x14ac:dyDescent="0.55000000000000004">
      <c r="A142" s="12"/>
      <c r="B142" s="14"/>
      <c r="C142" s="4"/>
      <c r="D142" s="4"/>
      <c r="E142" s="4"/>
      <c r="F142" s="4"/>
    </row>
    <row r="143" spans="1:10" x14ac:dyDescent="0.55000000000000004">
      <c r="B143" s="37" t="s">
        <v>16</v>
      </c>
      <c r="C143" s="37"/>
      <c r="D143" s="37"/>
      <c r="E143" s="37"/>
      <c r="F143" s="33"/>
    </row>
    <row r="144" spans="1:10" x14ac:dyDescent="0.55000000000000004">
      <c r="C144" s="38" t="s">
        <v>11</v>
      </c>
      <c r="D144" s="38"/>
      <c r="E144" s="38"/>
      <c r="F144" s="38"/>
    </row>
    <row r="145" spans="1:10" x14ac:dyDescent="0.55000000000000004">
      <c r="C145" s="10">
        <v>1</v>
      </c>
      <c r="D145" s="10">
        <v>2</v>
      </c>
      <c r="E145" s="10">
        <v>3</v>
      </c>
      <c r="F145" s="20">
        <v>4</v>
      </c>
    </row>
    <row r="146" spans="1:10" x14ac:dyDescent="0.55000000000000004">
      <c r="A146" s="36" t="s">
        <v>12</v>
      </c>
      <c r="B146" s="1">
        <v>1</v>
      </c>
      <c r="C146" s="11" t="s">
        <v>14</v>
      </c>
      <c r="D146" s="1"/>
      <c r="E146" s="1"/>
      <c r="F146" s="1"/>
      <c r="G146" s="4">
        <f>SUMPRODUCT(C146:F149,$C$16:$F$19)</f>
        <v>1</v>
      </c>
      <c r="H146" s="17" t="s">
        <v>17</v>
      </c>
      <c r="I146" s="14">
        <v>1</v>
      </c>
      <c r="J146" t="b">
        <f>IF(G146&lt;=I146,TRUE,FALSE)</f>
        <v>1</v>
      </c>
    </row>
    <row r="147" spans="1:10" x14ac:dyDescent="0.55000000000000004">
      <c r="A147" s="36"/>
      <c r="B147" s="1">
        <v>2</v>
      </c>
      <c r="C147" s="1"/>
      <c r="D147" s="11"/>
      <c r="E147" s="1"/>
      <c r="F147" s="1"/>
    </row>
    <row r="148" spans="1:10" x14ac:dyDescent="0.55000000000000004">
      <c r="A148" s="36"/>
      <c r="B148" s="1">
        <v>3</v>
      </c>
      <c r="C148" s="1"/>
      <c r="D148" s="1"/>
      <c r="E148" s="11"/>
      <c r="F148" s="18">
        <v>1</v>
      </c>
    </row>
    <row r="149" spans="1:10" x14ac:dyDescent="0.55000000000000004">
      <c r="A149" s="36"/>
      <c r="B149" s="19">
        <v>4</v>
      </c>
      <c r="C149" s="1"/>
      <c r="D149" s="1"/>
      <c r="E149" s="1">
        <v>1</v>
      </c>
      <c r="F149" s="1"/>
    </row>
    <row r="150" spans="1:10" x14ac:dyDescent="0.55000000000000004">
      <c r="A150" s="12"/>
      <c r="B150" s="14"/>
      <c r="C150" s="4"/>
      <c r="D150" s="4"/>
      <c r="E150" s="4"/>
      <c r="F150" s="4"/>
    </row>
    <row r="151" spans="1:10" x14ac:dyDescent="0.55000000000000004">
      <c r="A151" s="12"/>
      <c r="B151" s="14"/>
      <c r="C151" s="4"/>
      <c r="D151" s="4"/>
      <c r="E151" s="4"/>
      <c r="F151" s="4"/>
    </row>
    <row r="152" spans="1:10" x14ac:dyDescent="0.55000000000000004">
      <c r="A152" s="12"/>
      <c r="B152" s="14"/>
      <c r="C152" s="4" t="s">
        <v>26</v>
      </c>
      <c r="D152" s="4"/>
      <c r="E152" s="4"/>
      <c r="F152" s="4"/>
    </row>
    <row r="153" spans="1:10" x14ac:dyDescent="0.55000000000000004">
      <c r="C153" s="1">
        <f>C20</f>
        <v>1</v>
      </c>
      <c r="D153" s="1">
        <f t="shared" ref="D153:F153" si="4">D20</f>
        <v>1</v>
      </c>
      <c r="E153" s="1">
        <f t="shared" si="4"/>
        <v>1</v>
      </c>
      <c r="F153" s="1">
        <f t="shared" si="4"/>
        <v>1</v>
      </c>
    </row>
    <row r="154" spans="1:10" x14ac:dyDescent="0.55000000000000004">
      <c r="C154" s="34" t="s">
        <v>15</v>
      </c>
      <c r="D154" s="34" t="s">
        <v>15</v>
      </c>
      <c r="E154" s="34" t="s">
        <v>15</v>
      </c>
      <c r="F154" s="34" t="s">
        <v>15</v>
      </c>
    </row>
    <row r="155" spans="1:10" x14ac:dyDescent="0.55000000000000004">
      <c r="C155" s="1">
        <v>1</v>
      </c>
      <c r="D155" s="1">
        <v>1</v>
      </c>
      <c r="E155" s="1">
        <v>1</v>
      </c>
      <c r="F155" s="1">
        <v>1</v>
      </c>
    </row>
    <row r="156" spans="1:10" x14ac:dyDescent="0.55000000000000004">
      <c r="C156" s="4"/>
      <c r="D156" s="4"/>
      <c r="E156" s="4"/>
      <c r="F156" s="4"/>
    </row>
    <row r="157" spans="1:10" x14ac:dyDescent="0.55000000000000004">
      <c r="C157" t="s">
        <v>27</v>
      </c>
    </row>
    <row r="158" spans="1:10" x14ac:dyDescent="0.55000000000000004">
      <c r="C158" s="1">
        <f>G16</f>
        <v>1</v>
      </c>
      <c r="D158" s="34" t="s">
        <v>15</v>
      </c>
      <c r="E158" s="1">
        <v>1</v>
      </c>
    </row>
    <row r="159" spans="1:10" x14ac:dyDescent="0.55000000000000004">
      <c r="C159" s="1">
        <f>G17</f>
        <v>1</v>
      </c>
      <c r="D159" s="34" t="s">
        <v>15</v>
      </c>
      <c r="E159" s="1">
        <v>1</v>
      </c>
    </row>
    <row r="160" spans="1:10" x14ac:dyDescent="0.55000000000000004">
      <c r="C160" s="1">
        <f>G18</f>
        <v>1</v>
      </c>
      <c r="D160" s="34" t="s">
        <v>15</v>
      </c>
      <c r="E160" s="1">
        <v>1</v>
      </c>
    </row>
    <row r="161" spans="3:5" x14ac:dyDescent="0.55000000000000004">
      <c r="C161" s="1">
        <f>G19</f>
        <v>1</v>
      </c>
      <c r="D161" s="34" t="s">
        <v>15</v>
      </c>
      <c r="E161" s="1">
        <v>1</v>
      </c>
    </row>
  </sheetData>
  <mergeCells count="55">
    <mergeCell ref="A146:A149"/>
    <mergeCell ref="A130:A133"/>
    <mergeCell ref="B135:E135"/>
    <mergeCell ref="C136:F136"/>
    <mergeCell ref="A138:A141"/>
    <mergeCell ref="B143:E143"/>
    <mergeCell ref="C144:F144"/>
    <mergeCell ref="A114:A117"/>
    <mergeCell ref="B119:E119"/>
    <mergeCell ref="C120:F120"/>
    <mergeCell ref="A122:A125"/>
    <mergeCell ref="B127:E127"/>
    <mergeCell ref="C128:F128"/>
    <mergeCell ref="A98:A101"/>
    <mergeCell ref="B103:E103"/>
    <mergeCell ref="C104:F104"/>
    <mergeCell ref="A106:A109"/>
    <mergeCell ref="B111:E111"/>
    <mergeCell ref="C112:F112"/>
    <mergeCell ref="A82:A85"/>
    <mergeCell ref="B87:E87"/>
    <mergeCell ref="C88:F88"/>
    <mergeCell ref="A90:A93"/>
    <mergeCell ref="B95:E95"/>
    <mergeCell ref="C96:F96"/>
    <mergeCell ref="A66:A69"/>
    <mergeCell ref="B71:E71"/>
    <mergeCell ref="C72:F72"/>
    <mergeCell ref="A74:A77"/>
    <mergeCell ref="B79:E79"/>
    <mergeCell ref="C80:F80"/>
    <mergeCell ref="A50:A53"/>
    <mergeCell ref="B55:E55"/>
    <mergeCell ref="C56:F56"/>
    <mergeCell ref="A58:A61"/>
    <mergeCell ref="B63:E63"/>
    <mergeCell ref="C64:F64"/>
    <mergeCell ref="A34:A37"/>
    <mergeCell ref="B39:E39"/>
    <mergeCell ref="C40:F40"/>
    <mergeCell ref="A42:A45"/>
    <mergeCell ref="B47:E47"/>
    <mergeCell ref="C48:F48"/>
    <mergeCell ref="A16:A19"/>
    <mergeCell ref="A23:A24"/>
    <mergeCell ref="C23:F23"/>
    <mergeCell ref="A25:A28"/>
    <mergeCell ref="B31:E31"/>
    <mergeCell ref="C32:F32"/>
    <mergeCell ref="D1:O3"/>
    <mergeCell ref="A6:B6"/>
    <mergeCell ref="C6:F6"/>
    <mergeCell ref="A8:A11"/>
    <mergeCell ref="A14:A15"/>
    <mergeCell ref="C14:F1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61"/>
  <sheetViews>
    <sheetView topLeftCell="A8" zoomScale="120" zoomScaleNormal="120" workbookViewId="0">
      <selection activeCell="C17" sqref="C17"/>
    </sheetView>
  </sheetViews>
  <sheetFormatPr defaultRowHeight="15.3" x14ac:dyDescent="0.55000000000000004"/>
  <cols>
    <col min="1" max="1" width="17.59765625" customWidth="1"/>
    <col min="2" max="2" width="8.75" customWidth="1"/>
    <col min="5" max="6" width="10.25" customWidth="1"/>
    <col min="7" max="7" width="5" customWidth="1"/>
    <col min="8" max="8" width="6.84765625" customWidth="1"/>
    <col min="9" max="9" width="4.5" customWidth="1"/>
    <col min="12" max="12" width="11.59765625" customWidth="1"/>
  </cols>
  <sheetData>
    <row r="1" spans="1:15" ht="31.5" customHeight="1" x14ac:dyDescent="0.55000000000000004">
      <c r="A1" s="32" t="s">
        <v>0</v>
      </c>
      <c r="B1" s="1">
        <f>SUMPRODUCT(C8:F11,C16:F19)</f>
        <v>38.5</v>
      </c>
      <c r="D1" s="41" t="s">
        <v>18</v>
      </c>
      <c r="E1" s="41"/>
      <c r="F1" s="41"/>
      <c r="G1" s="41"/>
      <c r="H1" s="41"/>
      <c r="I1" s="41"/>
      <c r="J1" s="41"/>
      <c r="K1" s="41"/>
      <c r="L1" s="41"/>
      <c r="M1" s="41"/>
      <c r="N1" s="41"/>
      <c r="O1" s="41"/>
    </row>
    <row r="2" spans="1:15" ht="23.25" customHeight="1" x14ac:dyDescent="0.55000000000000004">
      <c r="A2" s="32" t="s">
        <v>3</v>
      </c>
      <c r="B2" s="1">
        <f>CEILING(B1,1)</f>
        <v>39</v>
      </c>
      <c r="D2" s="41"/>
      <c r="E2" s="41"/>
      <c r="F2" s="41"/>
      <c r="G2" s="41"/>
      <c r="H2" s="41"/>
      <c r="I2" s="41"/>
      <c r="J2" s="41"/>
      <c r="K2" s="41"/>
      <c r="L2" s="41"/>
      <c r="M2" s="41"/>
      <c r="N2" s="41"/>
      <c r="O2" s="41"/>
    </row>
    <row r="3" spans="1:15" ht="23.25" customHeight="1" x14ac:dyDescent="0.55000000000000004">
      <c r="A3" s="32" t="s">
        <v>23</v>
      </c>
      <c r="B3" s="1" t="b">
        <f>IF(AND(D25,E25,E26,C26,C27,D27,F25,F26,F27,C28,D28,E28),TRUE,FALSE)</f>
        <v>1</v>
      </c>
      <c r="D3" s="41"/>
      <c r="E3" s="41"/>
      <c r="F3" s="41"/>
      <c r="G3" s="41"/>
      <c r="H3" s="41"/>
      <c r="I3" s="41"/>
      <c r="J3" s="41"/>
      <c r="K3" s="41"/>
      <c r="L3" s="41"/>
      <c r="M3" s="41"/>
      <c r="N3" s="41"/>
      <c r="O3" s="41"/>
    </row>
    <row r="4" spans="1:15" ht="23.25" customHeight="1" x14ac:dyDescent="0.55000000000000004">
      <c r="A4" s="32" t="s">
        <v>22</v>
      </c>
      <c r="B4" s="1" t="b">
        <f>AND(H16:H19,C21:F21,J34,J42,J50,J58,J66,J74,J82,J90,J98,J106,J114,J122,J130,J138,J146)</f>
        <v>1</v>
      </c>
      <c r="D4" s="27"/>
      <c r="E4" s="27"/>
      <c r="F4" s="27"/>
      <c r="G4" s="27"/>
      <c r="H4" s="27"/>
      <c r="I4" s="27"/>
      <c r="J4" s="27"/>
      <c r="K4" s="27"/>
      <c r="L4" s="27"/>
      <c r="M4" s="27"/>
      <c r="N4" s="27"/>
      <c r="O4" s="27"/>
    </row>
    <row r="5" spans="1:15" x14ac:dyDescent="0.55000000000000004">
      <c r="A5" s="3"/>
      <c r="B5" s="4"/>
    </row>
    <row r="6" spans="1:15" ht="31.5" customHeight="1" x14ac:dyDescent="0.55000000000000004">
      <c r="A6" s="42" t="s">
        <v>21</v>
      </c>
      <c r="B6" s="42"/>
      <c r="C6" s="38" t="s">
        <v>11</v>
      </c>
      <c r="D6" s="38"/>
      <c r="E6" s="38"/>
      <c r="F6" s="38"/>
    </row>
    <row r="7" spans="1:15" x14ac:dyDescent="0.55000000000000004">
      <c r="A7" s="4"/>
      <c r="B7" s="35"/>
      <c r="C7" s="6">
        <v>1</v>
      </c>
      <c r="D7" s="6">
        <v>2</v>
      </c>
      <c r="E7" s="6">
        <v>3</v>
      </c>
      <c r="F7" s="6">
        <v>4</v>
      </c>
    </row>
    <row r="8" spans="1:15" x14ac:dyDescent="0.55000000000000004">
      <c r="A8" s="36" t="s">
        <v>12</v>
      </c>
      <c r="B8" s="5">
        <v>1</v>
      </c>
      <c r="C8" s="11"/>
      <c r="D8" s="6">
        <v>9.5</v>
      </c>
      <c r="E8" s="6">
        <v>12</v>
      </c>
      <c r="F8" s="6">
        <v>10</v>
      </c>
    </row>
    <row r="9" spans="1:15" x14ac:dyDescent="0.55000000000000004">
      <c r="A9" s="36"/>
      <c r="B9" s="5">
        <v>2</v>
      </c>
      <c r="C9" s="6">
        <v>6</v>
      </c>
      <c r="D9" s="11"/>
      <c r="E9" s="6">
        <v>10</v>
      </c>
      <c r="F9" s="6">
        <v>14</v>
      </c>
    </row>
    <row r="10" spans="1:15" x14ac:dyDescent="0.55000000000000004">
      <c r="A10" s="36"/>
      <c r="B10" s="5">
        <v>3</v>
      </c>
      <c r="C10" s="6">
        <v>10</v>
      </c>
      <c r="D10" s="6">
        <v>11</v>
      </c>
      <c r="E10" s="11"/>
      <c r="F10" s="6">
        <v>12</v>
      </c>
    </row>
    <row r="11" spans="1:15" x14ac:dyDescent="0.55000000000000004">
      <c r="A11" s="36"/>
      <c r="B11" s="5">
        <v>4</v>
      </c>
      <c r="C11" s="6">
        <v>7</v>
      </c>
      <c r="D11" s="6">
        <v>8</v>
      </c>
      <c r="E11" s="6">
        <v>15</v>
      </c>
      <c r="F11" s="11"/>
    </row>
    <row r="12" spans="1:15" x14ac:dyDescent="0.55000000000000004">
      <c r="A12" s="3"/>
      <c r="B12" s="4"/>
    </row>
    <row r="13" spans="1:15" x14ac:dyDescent="0.55000000000000004">
      <c r="A13" s="7" t="s">
        <v>4</v>
      </c>
    </row>
    <row r="14" spans="1:15" x14ac:dyDescent="0.55000000000000004">
      <c r="A14" s="39" t="s">
        <v>1</v>
      </c>
      <c r="C14" s="38" t="s">
        <v>11</v>
      </c>
      <c r="D14" s="38"/>
      <c r="E14" s="38"/>
      <c r="F14" s="38"/>
    </row>
    <row r="15" spans="1:15" x14ac:dyDescent="0.55000000000000004">
      <c r="A15" s="40"/>
      <c r="C15" s="24">
        <v>1</v>
      </c>
      <c r="D15" s="24">
        <v>2</v>
      </c>
      <c r="E15" s="24">
        <v>3</v>
      </c>
      <c r="F15" s="25">
        <v>4</v>
      </c>
    </row>
    <row r="16" spans="1:15" x14ac:dyDescent="0.55000000000000004">
      <c r="A16" s="36" t="s">
        <v>12</v>
      </c>
      <c r="B16" s="22">
        <v>1</v>
      </c>
      <c r="C16" s="11">
        <v>0</v>
      </c>
      <c r="D16" s="43">
        <v>1</v>
      </c>
      <c r="E16" s="1">
        <v>0</v>
      </c>
      <c r="F16" s="1">
        <v>0</v>
      </c>
      <c r="G16" s="28">
        <f>SUM(C16:F16)</f>
        <v>1</v>
      </c>
      <c r="H16" s="1" t="b">
        <f>IF(G16=1,TRUE,FALSE)</f>
        <v>1</v>
      </c>
    </row>
    <row r="17" spans="1:9" x14ac:dyDescent="0.55000000000000004">
      <c r="A17" s="36"/>
      <c r="B17" s="22">
        <v>2</v>
      </c>
      <c r="C17" s="43">
        <v>0</v>
      </c>
      <c r="D17" s="11">
        <v>0</v>
      </c>
      <c r="E17" s="1">
        <v>1</v>
      </c>
      <c r="F17" s="1">
        <v>0</v>
      </c>
      <c r="G17" s="28">
        <f t="shared" ref="G17:G19" si="0">SUM(C17:F17)</f>
        <v>1</v>
      </c>
      <c r="H17" s="1" t="b">
        <f t="shared" ref="H17:H19" si="1">IF(G17=1,TRUE,FALSE)</f>
        <v>1</v>
      </c>
    </row>
    <row r="18" spans="1:9" x14ac:dyDescent="0.55000000000000004">
      <c r="A18" s="36"/>
      <c r="B18" s="22">
        <v>3</v>
      </c>
      <c r="C18" s="1">
        <v>0</v>
      </c>
      <c r="D18" s="1">
        <v>0</v>
      </c>
      <c r="E18" s="11">
        <v>0</v>
      </c>
      <c r="F18" s="18">
        <v>1</v>
      </c>
      <c r="G18" s="28">
        <f t="shared" si="0"/>
        <v>1</v>
      </c>
      <c r="H18" s="1" t="b">
        <f t="shared" si="1"/>
        <v>1</v>
      </c>
    </row>
    <row r="19" spans="1:9" x14ac:dyDescent="0.55000000000000004">
      <c r="A19" s="36"/>
      <c r="B19" s="23">
        <v>4</v>
      </c>
      <c r="C19" s="1">
        <v>1</v>
      </c>
      <c r="D19" s="1">
        <v>0</v>
      </c>
      <c r="E19" s="18">
        <v>0</v>
      </c>
      <c r="F19" s="11">
        <v>0</v>
      </c>
      <c r="G19" s="28">
        <f t="shared" si="0"/>
        <v>1</v>
      </c>
      <c r="H19" s="1" t="b">
        <f t="shared" si="1"/>
        <v>1</v>
      </c>
    </row>
    <row r="20" spans="1:9" x14ac:dyDescent="0.55000000000000004">
      <c r="A20" s="12"/>
      <c r="B20" s="4"/>
      <c r="C20" s="29">
        <f>SUM(C16:C19)</f>
        <v>1</v>
      </c>
      <c r="D20" s="29">
        <f t="shared" ref="D20:F20" si="2">SUM(D16:D19)</f>
        <v>1</v>
      </c>
      <c r="E20" s="29">
        <f t="shared" si="2"/>
        <v>1</v>
      </c>
      <c r="F20" s="29">
        <f t="shared" si="2"/>
        <v>1</v>
      </c>
    </row>
    <row r="21" spans="1:9" x14ac:dyDescent="0.55000000000000004">
      <c r="A21" s="12"/>
      <c r="B21" s="4"/>
      <c r="C21" s="1" t="b">
        <f>IF(C20=1,TRUE,FALSE)</f>
        <v>1</v>
      </c>
      <c r="D21" s="1" t="b">
        <f t="shared" ref="D21:F21" si="3">IF(D20=1,TRUE,FALSE)</f>
        <v>1</v>
      </c>
      <c r="E21" s="1" t="b">
        <f t="shared" si="3"/>
        <v>1</v>
      </c>
      <c r="F21" s="1" t="b">
        <f t="shared" si="3"/>
        <v>1</v>
      </c>
    </row>
    <row r="22" spans="1:9" x14ac:dyDescent="0.55000000000000004">
      <c r="A22" s="12"/>
      <c r="B22" s="4"/>
      <c r="C22" s="4"/>
      <c r="D22" s="4"/>
      <c r="E22" s="15"/>
      <c r="F22" s="15"/>
    </row>
    <row r="23" spans="1:9" x14ac:dyDescent="0.55000000000000004">
      <c r="A23" s="39" t="s">
        <v>13</v>
      </c>
      <c r="C23" s="38" t="s">
        <v>11</v>
      </c>
      <c r="D23" s="38"/>
      <c r="E23" s="38"/>
      <c r="F23" s="38"/>
    </row>
    <row r="24" spans="1:9" x14ac:dyDescent="0.55000000000000004">
      <c r="A24" s="40"/>
      <c r="C24" s="24">
        <v>1</v>
      </c>
      <c r="D24" s="24">
        <v>2</v>
      </c>
      <c r="E24" s="24">
        <v>3</v>
      </c>
      <c r="F24" s="25">
        <v>4</v>
      </c>
    </row>
    <row r="25" spans="1:9" x14ac:dyDescent="0.55000000000000004">
      <c r="A25" s="36" t="s">
        <v>12</v>
      </c>
      <c r="B25" s="1">
        <v>1</v>
      </c>
      <c r="C25" s="11"/>
      <c r="D25" s="1" t="b">
        <f>IF(D16=FLOOR(D16,1),TRUE,FALSE)</f>
        <v>1</v>
      </c>
      <c r="E25" s="1" t="b">
        <f>IF(E16=FLOOR(E16,1),TRUE,FALSE)</f>
        <v>1</v>
      </c>
      <c r="F25" s="1" t="b">
        <f>IF(F16=FLOOR(F16,1),TRUE,FALSE)</f>
        <v>1</v>
      </c>
    </row>
    <row r="26" spans="1:9" x14ac:dyDescent="0.55000000000000004">
      <c r="A26" s="36"/>
      <c r="B26" s="1">
        <v>2</v>
      </c>
      <c r="C26" s="1" t="b">
        <f>IF(C17=FLOOR(C17,1),TRUE,FALSE)</f>
        <v>1</v>
      </c>
      <c r="D26" s="11"/>
      <c r="E26" s="1" t="b">
        <f>IF(E17=FLOOR(E17,1),TRUE,FALSE)</f>
        <v>1</v>
      </c>
      <c r="F26" s="1" t="b">
        <f>IF(F17=FLOOR(F17,1),TRUE,FALSE)</f>
        <v>1</v>
      </c>
    </row>
    <row r="27" spans="1:9" x14ac:dyDescent="0.55000000000000004">
      <c r="A27" s="36"/>
      <c r="B27" s="1">
        <v>3</v>
      </c>
      <c r="C27" s="1" t="b">
        <f>IF(C18=FLOOR(C18,1),TRUE,FALSE)</f>
        <v>1</v>
      </c>
      <c r="D27" s="1" t="b">
        <f>IF(D18=FLOOR(D18,1),TRUE,FALSE)</f>
        <v>1</v>
      </c>
      <c r="E27" s="11"/>
      <c r="F27" s="1" t="b">
        <f>IF(F18=FLOOR(F18,1),TRUE,FALSE)</f>
        <v>1</v>
      </c>
    </row>
    <row r="28" spans="1:9" ht="15.6" customHeight="1" x14ac:dyDescent="0.55000000000000004">
      <c r="A28" s="36"/>
      <c r="B28" s="19">
        <v>4</v>
      </c>
      <c r="C28" s="1" t="b">
        <f>IF(C19=FLOOR(C19,1),TRUE,FALSE)</f>
        <v>1</v>
      </c>
      <c r="D28" s="1" t="b">
        <f>IF(D19=FLOOR(D19,1),TRUE,FALSE)</f>
        <v>1</v>
      </c>
      <c r="E28" s="1" t="b">
        <f>IF(E19=FLOOR(E19,1),TRUE,FALSE)</f>
        <v>1</v>
      </c>
      <c r="F28" s="11"/>
    </row>
    <row r="29" spans="1:9" x14ac:dyDescent="0.55000000000000004">
      <c r="A29" s="3"/>
      <c r="B29" s="4"/>
      <c r="C29" s="4"/>
      <c r="D29" s="4"/>
    </row>
    <row r="31" spans="1:9" x14ac:dyDescent="0.55000000000000004">
      <c r="A31" t="s">
        <v>2</v>
      </c>
      <c r="B31" s="37" t="s">
        <v>20</v>
      </c>
      <c r="C31" s="37"/>
      <c r="D31" s="37"/>
      <c r="E31" s="37"/>
      <c r="F31" s="33"/>
      <c r="G31" s="13"/>
      <c r="H31" s="13"/>
      <c r="I31" s="4"/>
    </row>
    <row r="32" spans="1:9" x14ac:dyDescent="0.55000000000000004">
      <c r="C32" s="38" t="s">
        <v>11</v>
      </c>
      <c r="D32" s="38"/>
      <c r="E32" s="38"/>
      <c r="F32" s="38"/>
      <c r="G32" s="4"/>
      <c r="H32" s="4"/>
      <c r="I32" s="4"/>
    </row>
    <row r="33" spans="1:10" x14ac:dyDescent="0.55000000000000004">
      <c r="C33" s="10">
        <v>1</v>
      </c>
      <c r="D33" s="10">
        <v>2</v>
      </c>
      <c r="E33" s="10">
        <v>3</v>
      </c>
      <c r="F33" s="20">
        <v>4</v>
      </c>
      <c r="G33" s="4"/>
      <c r="H33" s="4"/>
      <c r="I33" s="4"/>
    </row>
    <row r="34" spans="1:10" x14ac:dyDescent="0.55000000000000004">
      <c r="A34" s="36" t="s">
        <v>12</v>
      </c>
      <c r="B34" s="1">
        <v>1</v>
      </c>
      <c r="C34" s="11" t="s">
        <v>14</v>
      </c>
      <c r="D34" s="1">
        <v>1</v>
      </c>
      <c r="E34" s="1">
        <v>1</v>
      </c>
      <c r="F34" s="1">
        <v>1</v>
      </c>
      <c r="G34" s="4">
        <f>SUMPRODUCT(C34:F37,$C$16:$F$19)</f>
        <v>4</v>
      </c>
      <c r="H34" s="4" t="s">
        <v>15</v>
      </c>
      <c r="I34" s="14">
        <v>4</v>
      </c>
      <c r="J34" t="b">
        <f>IF(G34=I34,TRUE,FALSE)</f>
        <v>1</v>
      </c>
    </row>
    <row r="35" spans="1:10" x14ac:dyDescent="0.55000000000000004">
      <c r="A35" s="36"/>
      <c r="B35" s="1">
        <v>2</v>
      </c>
      <c r="C35" s="1">
        <v>1</v>
      </c>
      <c r="D35" s="11"/>
      <c r="E35" s="1">
        <v>1</v>
      </c>
      <c r="F35" s="1">
        <v>1</v>
      </c>
      <c r="G35" s="4"/>
      <c r="H35" s="4"/>
      <c r="I35" s="4"/>
    </row>
    <row r="36" spans="1:10" x14ac:dyDescent="0.55000000000000004">
      <c r="A36" s="36"/>
      <c r="B36" s="1">
        <v>3</v>
      </c>
      <c r="C36" s="1">
        <v>1</v>
      </c>
      <c r="D36" s="1">
        <v>1</v>
      </c>
      <c r="E36" s="11"/>
      <c r="F36" s="1">
        <v>1</v>
      </c>
      <c r="G36" s="14"/>
      <c r="H36" s="14"/>
      <c r="I36" s="4"/>
    </row>
    <row r="37" spans="1:10" x14ac:dyDescent="0.55000000000000004">
      <c r="A37" s="36"/>
      <c r="B37" s="19">
        <v>4</v>
      </c>
      <c r="C37" s="1">
        <v>1</v>
      </c>
      <c r="D37" s="1">
        <v>1</v>
      </c>
      <c r="E37" s="11"/>
      <c r="F37" s="1">
        <v>1</v>
      </c>
      <c r="G37" s="14"/>
      <c r="H37" s="14"/>
      <c r="I37" s="4"/>
    </row>
    <row r="38" spans="1:10" x14ac:dyDescent="0.55000000000000004">
      <c r="B38" s="4"/>
      <c r="C38" s="4"/>
      <c r="D38" s="4"/>
      <c r="E38" s="4"/>
      <c r="F38" s="4"/>
      <c r="G38" s="14"/>
      <c r="H38" s="14"/>
      <c r="I38" s="4"/>
    </row>
    <row r="39" spans="1:10" x14ac:dyDescent="0.55000000000000004">
      <c r="B39" s="37" t="s">
        <v>19</v>
      </c>
      <c r="C39" s="37"/>
      <c r="D39" s="37"/>
      <c r="E39" s="37"/>
      <c r="F39" s="33"/>
      <c r="G39" s="14"/>
      <c r="H39" s="14"/>
      <c r="I39" s="4"/>
    </row>
    <row r="40" spans="1:10" x14ac:dyDescent="0.55000000000000004">
      <c r="C40" s="38" t="s">
        <v>11</v>
      </c>
      <c r="D40" s="38"/>
      <c r="E40" s="38"/>
      <c r="F40" s="38"/>
      <c r="G40" s="14"/>
      <c r="H40" s="14"/>
      <c r="I40" s="4"/>
    </row>
    <row r="41" spans="1:10" x14ac:dyDescent="0.55000000000000004">
      <c r="C41" s="10">
        <v>1</v>
      </c>
      <c r="D41" s="10">
        <v>2</v>
      </c>
      <c r="E41" s="10">
        <v>3</v>
      </c>
      <c r="F41" s="20">
        <v>4</v>
      </c>
    </row>
    <row r="42" spans="1:10" x14ac:dyDescent="0.55000000000000004">
      <c r="A42" s="36" t="s">
        <v>12</v>
      </c>
      <c r="B42" s="1">
        <v>1</v>
      </c>
      <c r="C42" s="11"/>
      <c r="D42" s="1">
        <v>1</v>
      </c>
      <c r="E42" s="1"/>
      <c r="F42" s="1"/>
      <c r="G42" s="4">
        <f>SUMPRODUCT(C42:F45,$C$16:$F$19)</f>
        <v>2</v>
      </c>
      <c r="H42" s="17" t="s">
        <v>17</v>
      </c>
      <c r="I42" s="14">
        <v>2</v>
      </c>
      <c r="J42" t="b">
        <f>IF(G42&lt;=I42,TRUE,FALSE)</f>
        <v>1</v>
      </c>
    </row>
    <row r="43" spans="1:10" x14ac:dyDescent="0.55000000000000004">
      <c r="A43" s="36"/>
      <c r="B43" s="1">
        <v>2</v>
      </c>
      <c r="C43" s="1"/>
      <c r="D43" s="11"/>
      <c r="E43" s="1">
        <v>1</v>
      </c>
      <c r="F43" s="1"/>
    </row>
    <row r="44" spans="1:10" x14ac:dyDescent="0.55000000000000004">
      <c r="A44" s="36"/>
      <c r="B44" s="1">
        <v>3</v>
      </c>
      <c r="C44" s="1">
        <v>1</v>
      </c>
      <c r="D44" s="1"/>
      <c r="E44" s="11"/>
      <c r="F44" s="18"/>
    </row>
    <row r="45" spans="1:10" x14ac:dyDescent="0.55000000000000004">
      <c r="A45" s="36"/>
      <c r="B45" s="19">
        <v>4</v>
      </c>
      <c r="C45" s="1"/>
      <c r="D45" s="1"/>
      <c r="E45" s="18"/>
      <c r="F45" s="11"/>
    </row>
    <row r="47" spans="1:10" x14ac:dyDescent="0.55000000000000004">
      <c r="B47" s="37" t="s">
        <v>19</v>
      </c>
      <c r="C47" s="37"/>
      <c r="D47" s="37"/>
      <c r="E47" s="37"/>
      <c r="F47" s="33"/>
    </row>
    <row r="48" spans="1:10" x14ac:dyDescent="0.55000000000000004">
      <c r="C48" s="38" t="s">
        <v>11</v>
      </c>
      <c r="D48" s="38"/>
      <c r="E48" s="38"/>
      <c r="F48" s="38"/>
    </row>
    <row r="49" spans="1:10" x14ac:dyDescent="0.55000000000000004">
      <c r="C49" s="10">
        <v>1</v>
      </c>
      <c r="D49" s="10">
        <v>2</v>
      </c>
      <c r="E49" s="10">
        <v>3</v>
      </c>
      <c r="F49" s="20">
        <v>4</v>
      </c>
    </row>
    <row r="50" spans="1:10" x14ac:dyDescent="0.55000000000000004">
      <c r="A50" s="36" t="s">
        <v>12</v>
      </c>
      <c r="B50" s="1">
        <v>1</v>
      </c>
      <c r="C50" s="11" t="s">
        <v>14</v>
      </c>
      <c r="D50" s="1">
        <v>1</v>
      </c>
      <c r="E50" s="1"/>
      <c r="F50" s="1"/>
      <c r="G50" s="4">
        <f>SUMPRODUCT(C50:F53,$C$16:$F$19)</f>
        <v>2</v>
      </c>
      <c r="H50" s="17" t="s">
        <v>17</v>
      </c>
      <c r="I50" s="14">
        <v>2</v>
      </c>
      <c r="J50" t="b">
        <f>IF(G50&lt;=I50,TRUE,FALSE)</f>
        <v>1</v>
      </c>
    </row>
    <row r="51" spans="1:10" x14ac:dyDescent="0.55000000000000004">
      <c r="A51" s="36"/>
      <c r="B51" s="1">
        <v>2</v>
      </c>
      <c r="C51" s="1"/>
      <c r="D51" s="11"/>
      <c r="E51" s="1"/>
      <c r="F51" s="1">
        <v>1</v>
      </c>
    </row>
    <row r="52" spans="1:10" x14ac:dyDescent="0.55000000000000004">
      <c r="A52" s="36"/>
      <c r="B52" s="1">
        <v>3</v>
      </c>
      <c r="C52" s="1"/>
      <c r="D52" s="1"/>
      <c r="E52" s="11"/>
      <c r="F52" s="18"/>
    </row>
    <row r="53" spans="1:10" x14ac:dyDescent="0.55000000000000004">
      <c r="A53" s="36"/>
      <c r="B53" s="19">
        <v>4</v>
      </c>
      <c r="C53" s="1">
        <v>1</v>
      </c>
      <c r="D53" s="1"/>
      <c r="E53" s="18"/>
      <c r="F53" s="11"/>
    </row>
    <row r="55" spans="1:10" x14ac:dyDescent="0.55000000000000004">
      <c r="B55" s="37" t="s">
        <v>19</v>
      </c>
      <c r="C55" s="37"/>
      <c r="D55" s="37"/>
      <c r="E55" s="37"/>
      <c r="F55" s="33"/>
    </row>
    <row r="56" spans="1:10" x14ac:dyDescent="0.55000000000000004">
      <c r="C56" s="38" t="s">
        <v>11</v>
      </c>
      <c r="D56" s="38"/>
      <c r="E56" s="38"/>
      <c r="F56" s="38"/>
    </row>
    <row r="57" spans="1:10" x14ac:dyDescent="0.55000000000000004">
      <c r="C57" s="10">
        <v>1</v>
      </c>
      <c r="D57" s="10">
        <v>2</v>
      </c>
      <c r="E57" s="10">
        <v>3</v>
      </c>
      <c r="F57" s="20">
        <v>4</v>
      </c>
    </row>
    <row r="58" spans="1:10" x14ac:dyDescent="0.55000000000000004">
      <c r="A58" s="36" t="s">
        <v>12</v>
      </c>
      <c r="B58" s="1">
        <v>1</v>
      </c>
      <c r="C58" s="11" t="s">
        <v>14</v>
      </c>
      <c r="D58" s="1"/>
      <c r="E58" s="1">
        <v>1</v>
      </c>
      <c r="F58" s="1"/>
      <c r="G58" s="4">
        <f>SUMPRODUCT(C58:F61,$C$16:$F$19)</f>
        <v>2</v>
      </c>
      <c r="H58" s="17" t="s">
        <v>17</v>
      </c>
      <c r="I58" s="14">
        <v>2</v>
      </c>
      <c r="J58" t="b">
        <f>IF(G58&lt;=I58,TRUE,FALSE)</f>
        <v>1</v>
      </c>
    </row>
    <row r="59" spans="1:10" x14ac:dyDescent="0.55000000000000004">
      <c r="A59" s="36"/>
      <c r="B59" s="1">
        <v>2</v>
      </c>
      <c r="C59" s="1"/>
      <c r="D59" s="11"/>
      <c r="E59" s="1"/>
      <c r="F59" s="1"/>
    </row>
    <row r="60" spans="1:10" x14ac:dyDescent="0.55000000000000004">
      <c r="A60" s="36"/>
      <c r="B60" s="1">
        <v>3</v>
      </c>
      <c r="C60" s="1"/>
      <c r="D60" s="1"/>
      <c r="E60" s="11"/>
      <c r="F60" s="18">
        <v>1</v>
      </c>
    </row>
    <row r="61" spans="1:10" x14ac:dyDescent="0.55000000000000004">
      <c r="A61" s="36"/>
      <c r="B61" s="19">
        <v>4</v>
      </c>
      <c r="C61" s="1">
        <v>1</v>
      </c>
      <c r="D61" s="1"/>
      <c r="E61" s="18"/>
      <c r="F61" s="18"/>
    </row>
    <row r="62" spans="1:10" x14ac:dyDescent="0.55000000000000004">
      <c r="B62" s="4"/>
      <c r="C62" s="4"/>
      <c r="D62" s="4"/>
      <c r="E62" s="15"/>
      <c r="F62" s="15"/>
    </row>
    <row r="63" spans="1:10" x14ac:dyDescent="0.55000000000000004">
      <c r="B63" s="37" t="s">
        <v>19</v>
      </c>
      <c r="C63" s="37"/>
      <c r="D63" s="37"/>
      <c r="E63" s="37"/>
      <c r="F63" s="33"/>
    </row>
    <row r="64" spans="1:10" x14ac:dyDescent="0.55000000000000004">
      <c r="C64" s="38" t="s">
        <v>11</v>
      </c>
      <c r="D64" s="38"/>
      <c r="E64" s="38"/>
      <c r="F64" s="38"/>
    </row>
    <row r="65" spans="1:10" x14ac:dyDescent="0.55000000000000004">
      <c r="C65" s="10">
        <v>1</v>
      </c>
      <c r="D65" s="10">
        <v>2</v>
      </c>
      <c r="E65" s="10">
        <v>3</v>
      </c>
      <c r="F65" s="20">
        <v>4</v>
      </c>
    </row>
    <row r="66" spans="1:10" x14ac:dyDescent="0.55000000000000004">
      <c r="A66" s="36" t="s">
        <v>12</v>
      </c>
      <c r="B66" s="1">
        <v>1</v>
      </c>
      <c r="C66" s="11" t="s">
        <v>14</v>
      </c>
      <c r="D66" s="1"/>
      <c r="E66" s="1"/>
      <c r="F66" s="1"/>
      <c r="G66" s="4">
        <f>SUMPRODUCT(C66:F69,$C$16:$F$19)</f>
        <v>2</v>
      </c>
      <c r="H66" s="17" t="s">
        <v>17</v>
      </c>
      <c r="I66" s="14">
        <v>2</v>
      </c>
      <c r="J66" t="b">
        <f>IF(G66&lt;=I66,TRUE,FALSE)</f>
        <v>1</v>
      </c>
    </row>
    <row r="67" spans="1:10" x14ac:dyDescent="0.55000000000000004">
      <c r="A67" s="36"/>
      <c r="B67" s="1">
        <v>2</v>
      </c>
      <c r="C67" s="1"/>
      <c r="D67" s="11"/>
      <c r="E67" s="1">
        <v>1</v>
      </c>
      <c r="F67" s="1"/>
    </row>
    <row r="68" spans="1:10" x14ac:dyDescent="0.55000000000000004">
      <c r="A68" s="36"/>
      <c r="B68" s="1">
        <v>3</v>
      </c>
      <c r="C68" s="1"/>
      <c r="D68" s="1"/>
      <c r="E68" s="11"/>
      <c r="F68" s="18">
        <v>1</v>
      </c>
    </row>
    <row r="69" spans="1:10" x14ac:dyDescent="0.55000000000000004">
      <c r="A69" s="36"/>
      <c r="B69" s="19">
        <v>4</v>
      </c>
      <c r="C69" s="1"/>
      <c r="D69" s="1">
        <v>1</v>
      </c>
      <c r="E69" s="18"/>
      <c r="F69" s="18"/>
    </row>
    <row r="70" spans="1:10" x14ac:dyDescent="0.55000000000000004">
      <c r="B70" s="4"/>
      <c r="C70" s="4"/>
      <c r="D70" s="4"/>
      <c r="E70" s="4"/>
      <c r="F70" s="4"/>
      <c r="G70" s="14"/>
      <c r="H70" s="14"/>
      <c r="I70" s="4"/>
    </row>
    <row r="71" spans="1:10" x14ac:dyDescent="0.55000000000000004">
      <c r="B71" s="37" t="s">
        <v>19</v>
      </c>
      <c r="C71" s="37"/>
      <c r="D71" s="37"/>
      <c r="E71" s="37"/>
      <c r="F71" s="33"/>
      <c r="G71" s="14"/>
      <c r="H71" s="14"/>
      <c r="I71" s="4"/>
    </row>
    <row r="72" spans="1:10" x14ac:dyDescent="0.55000000000000004">
      <c r="C72" s="38" t="s">
        <v>11</v>
      </c>
      <c r="D72" s="38"/>
      <c r="E72" s="38"/>
      <c r="F72" s="38"/>
      <c r="G72" s="14"/>
      <c r="H72" s="14"/>
      <c r="I72" s="4"/>
    </row>
    <row r="73" spans="1:10" x14ac:dyDescent="0.55000000000000004">
      <c r="C73" s="10">
        <v>1</v>
      </c>
      <c r="D73" s="10">
        <v>2</v>
      </c>
      <c r="E73" s="10">
        <v>3</v>
      </c>
      <c r="F73" s="20">
        <v>4</v>
      </c>
    </row>
    <row r="74" spans="1:10" x14ac:dyDescent="0.55000000000000004">
      <c r="A74" s="36" t="s">
        <v>12</v>
      </c>
      <c r="B74" s="1">
        <v>1</v>
      </c>
      <c r="C74" s="11"/>
      <c r="D74" s="1"/>
      <c r="E74" s="1">
        <v>1</v>
      </c>
      <c r="F74" s="1"/>
      <c r="G74" s="4">
        <f>SUMPRODUCT(C74:F77,$C$16:$F$19)</f>
        <v>0</v>
      </c>
      <c r="H74" s="17" t="s">
        <v>17</v>
      </c>
      <c r="I74" s="14">
        <v>2</v>
      </c>
      <c r="J74" t="b">
        <f>IF(G74&lt;=I74,TRUE,FALSE)</f>
        <v>1</v>
      </c>
    </row>
    <row r="75" spans="1:10" x14ac:dyDescent="0.55000000000000004">
      <c r="A75" s="36"/>
      <c r="B75" s="1">
        <v>2</v>
      </c>
      <c r="C75" s="1">
        <v>1</v>
      </c>
      <c r="D75" s="11"/>
      <c r="E75" s="1"/>
      <c r="F75" s="1"/>
    </row>
    <row r="76" spans="1:10" x14ac:dyDescent="0.55000000000000004">
      <c r="A76" s="36"/>
      <c r="B76" s="1">
        <v>3</v>
      </c>
      <c r="C76" s="1"/>
      <c r="D76" s="1">
        <v>1</v>
      </c>
      <c r="E76" s="11"/>
      <c r="F76" s="18"/>
    </row>
    <row r="77" spans="1:10" x14ac:dyDescent="0.55000000000000004">
      <c r="A77" s="36"/>
      <c r="B77" s="19">
        <v>4</v>
      </c>
      <c r="C77" s="1"/>
      <c r="D77" s="1"/>
      <c r="E77" s="18"/>
      <c r="F77" s="11"/>
    </row>
    <row r="79" spans="1:10" x14ac:dyDescent="0.55000000000000004">
      <c r="B79" s="37" t="s">
        <v>19</v>
      </c>
      <c r="C79" s="37"/>
      <c r="D79" s="37"/>
      <c r="E79" s="37"/>
      <c r="F79" s="33"/>
    </row>
    <row r="80" spans="1:10" x14ac:dyDescent="0.55000000000000004">
      <c r="C80" s="38" t="s">
        <v>11</v>
      </c>
      <c r="D80" s="38"/>
      <c r="E80" s="38"/>
      <c r="F80" s="38"/>
    </row>
    <row r="81" spans="1:10" x14ac:dyDescent="0.55000000000000004">
      <c r="C81" s="10">
        <v>1</v>
      </c>
      <c r="D81" s="10">
        <v>2</v>
      </c>
      <c r="E81" s="10">
        <v>3</v>
      </c>
      <c r="F81" s="20">
        <v>4</v>
      </c>
    </row>
    <row r="82" spans="1:10" x14ac:dyDescent="0.55000000000000004">
      <c r="A82" s="36" t="s">
        <v>12</v>
      </c>
      <c r="B82" s="1">
        <v>1</v>
      </c>
      <c r="C82" s="11" t="s">
        <v>14</v>
      </c>
      <c r="D82" s="1"/>
      <c r="E82" s="1"/>
      <c r="F82" s="1">
        <v>1</v>
      </c>
      <c r="G82" s="4">
        <f>SUMPRODUCT(C82:F85,$C$16:$F$19)</f>
        <v>0</v>
      </c>
      <c r="H82" s="17" t="s">
        <v>17</v>
      </c>
      <c r="I82" s="14">
        <v>2</v>
      </c>
      <c r="J82" t="b">
        <f>IF(G82&lt;=I82,TRUE,FALSE)</f>
        <v>1</v>
      </c>
    </row>
    <row r="83" spans="1:10" x14ac:dyDescent="0.55000000000000004">
      <c r="A83" s="36"/>
      <c r="B83" s="1">
        <v>2</v>
      </c>
      <c r="C83" s="1">
        <v>1</v>
      </c>
      <c r="D83" s="11"/>
      <c r="E83" s="1"/>
      <c r="F83" s="1"/>
    </row>
    <row r="84" spans="1:10" x14ac:dyDescent="0.55000000000000004">
      <c r="A84" s="36"/>
      <c r="B84" s="1">
        <v>3</v>
      </c>
      <c r="C84" s="1"/>
      <c r="D84" s="1"/>
      <c r="E84" s="11"/>
      <c r="F84" s="18"/>
    </row>
    <row r="85" spans="1:10" x14ac:dyDescent="0.55000000000000004">
      <c r="A85" s="36"/>
      <c r="B85" s="19">
        <v>4</v>
      </c>
      <c r="C85" s="1"/>
      <c r="D85" s="1">
        <v>1</v>
      </c>
      <c r="E85" s="18"/>
      <c r="F85" s="11"/>
    </row>
    <row r="87" spans="1:10" x14ac:dyDescent="0.55000000000000004">
      <c r="B87" s="37" t="s">
        <v>19</v>
      </c>
      <c r="C87" s="37"/>
      <c r="D87" s="37"/>
      <c r="E87" s="37"/>
      <c r="F87" s="33"/>
    </row>
    <row r="88" spans="1:10" x14ac:dyDescent="0.55000000000000004">
      <c r="C88" s="38" t="s">
        <v>11</v>
      </c>
      <c r="D88" s="38"/>
      <c r="E88" s="38"/>
      <c r="F88" s="38"/>
    </row>
    <row r="89" spans="1:10" x14ac:dyDescent="0.55000000000000004">
      <c r="C89" s="10">
        <v>1</v>
      </c>
      <c r="D89" s="10">
        <v>2</v>
      </c>
      <c r="E89" s="10">
        <v>3</v>
      </c>
      <c r="F89" s="20">
        <v>4</v>
      </c>
    </row>
    <row r="90" spans="1:10" x14ac:dyDescent="0.55000000000000004">
      <c r="A90" s="36" t="s">
        <v>12</v>
      </c>
      <c r="B90" s="1">
        <v>1</v>
      </c>
      <c r="C90" s="11" t="s">
        <v>14</v>
      </c>
      <c r="D90" s="1"/>
      <c r="E90" s="1">
        <v>1</v>
      </c>
      <c r="F90" s="1"/>
      <c r="G90" s="4">
        <f>SUMPRODUCT(C90:F93,$C$16:$F$19)</f>
        <v>2</v>
      </c>
      <c r="H90" s="17" t="s">
        <v>17</v>
      </c>
      <c r="I90" s="14">
        <v>2</v>
      </c>
      <c r="J90" t="b">
        <f>IF(G90&lt;=I90,TRUE,FALSE)</f>
        <v>1</v>
      </c>
    </row>
    <row r="91" spans="1:10" x14ac:dyDescent="0.55000000000000004">
      <c r="A91" s="36"/>
      <c r="B91" s="1">
        <v>2</v>
      </c>
      <c r="C91" s="1"/>
      <c r="D91" s="11"/>
      <c r="E91" s="1"/>
      <c r="F91" s="1"/>
    </row>
    <row r="92" spans="1:10" x14ac:dyDescent="0.55000000000000004">
      <c r="A92" s="36"/>
      <c r="B92" s="1">
        <v>3</v>
      </c>
      <c r="C92" s="1"/>
      <c r="D92" s="1"/>
      <c r="E92" s="11"/>
      <c r="F92" s="18">
        <v>1</v>
      </c>
    </row>
    <row r="93" spans="1:10" x14ac:dyDescent="0.55000000000000004">
      <c r="A93" s="36"/>
      <c r="B93" s="19">
        <v>4</v>
      </c>
      <c r="C93" s="1">
        <v>1</v>
      </c>
      <c r="D93" s="1"/>
      <c r="E93" s="18"/>
      <c r="F93" s="18"/>
    </row>
    <row r="94" spans="1:10" x14ac:dyDescent="0.55000000000000004">
      <c r="B94" s="4"/>
      <c r="C94" s="4"/>
      <c r="D94" s="4"/>
      <c r="E94" s="15"/>
      <c r="F94" s="15"/>
    </row>
    <row r="95" spans="1:10" x14ac:dyDescent="0.55000000000000004">
      <c r="B95" s="37" t="s">
        <v>19</v>
      </c>
      <c r="C95" s="37"/>
      <c r="D95" s="37"/>
      <c r="E95" s="37"/>
      <c r="F95" s="33"/>
    </row>
    <row r="96" spans="1:10" x14ac:dyDescent="0.55000000000000004">
      <c r="C96" s="38" t="s">
        <v>11</v>
      </c>
      <c r="D96" s="38"/>
      <c r="E96" s="38"/>
      <c r="F96" s="38"/>
    </row>
    <row r="97" spans="1:10" x14ac:dyDescent="0.55000000000000004">
      <c r="C97" s="10">
        <v>1</v>
      </c>
      <c r="D97" s="10">
        <v>2</v>
      </c>
      <c r="E97" s="10">
        <v>3</v>
      </c>
      <c r="F97" s="20">
        <v>4</v>
      </c>
    </row>
    <row r="98" spans="1:10" x14ac:dyDescent="0.55000000000000004">
      <c r="A98" s="36" t="s">
        <v>12</v>
      </c>
      <c r="B98" s="1">
        <v>1</v>
      </c>
      <c r="C98" s="11" t="s">
        <v>14</v>
      </c>
      <c r="D98" s="1"/>
      <c r="E98" s="1"/>
      <c r="F98" s="1"/>
      <c r="G98" s="4">
        <f>SUMPRODUCT(C98:F101,$C$16:$F$19)</f>
        <v>0</v>
      </c>
      <c r="H98" s="17" t="s">
        <v>17</v>
      </c>
      <c r="I98" s="14">
        <v>2</v>
      </c>
      <c r="J98" t="b">
        <f>IF(G98&lt;=I98,TRUE,FALSE)</f>
        <v>1</v>
      </c>
    </row>
    <row r="99" spans="1:10" x14ac:dyDescent="0.55000000000000004">
      <c r="A99" s="36"/>
      <c r="B99" s="1">
        <v>2</v>
      </c>
      <c r="C99" s="1"/>
      <c r="D99" s="11"/>
      <c r="E99" s="1"/>
      <c r="F99" s="1">
        <v>1</v>
      </c>
    </row>
    <row r="100" spans="1:10" x14ac:dyDescent="0.55000000000000004">
      <c r="A100" s="36"/>
      <c r="B100" s="1">
        <v>3</v>
      </c>
      <c r="C100" s="1"/>
      <c r="D100" s="1">
        <v>1</v>
      </c>
      <c r="E100" s="11"/>
      <c r="F100" s="18"/>
    </row>
    <row r="101" spans="1:10" x14ac:dyDescent="0.55000000000000004">
      <c r="A101" s="36"/>
      <c r="B101" s="19">
        <v>4</v>
      </c>
      <c r="C101" s="1"/>
      <c r="D101" s="1"/>
      <c r="E101" s="18">
        <v>1</v>
      </c>
      <c r="F101" s="18"/>
    </row>
    <row r="102" spans="1:10" x14ac:dyDescent="0.55000000000000004">
      <c r="B102" s="4"/>
      <c r="C102" s="4"/>
      <c r="D102" s="4"/>
      <c r="E102" s="15"/>
      <c r="F102" s="15"/>
    </row>
    <row r="103" spans="1:10" x14ac:dyDescent="0.55000000000000004">
      <c r="B103" s="37" t="s">
        <v>16</v>
      </c>
      <c r="C103" s="37"/>
      <c r="D103" s="37"/>
      <c r="E103" s="37"/>
      <c r="F103" s="33"/>
    </row>
    <row r="104" spans="1:10" x14ac:dyDescent="0.55000000000000004">
      <c r="C104" s="38" t="s">
        <v>11</v>
      </c>
      <c r="D104" s="38"/>
      <c r="E104" s="38"/>
      <c r="F104" s="38"/>
    </row>
    <row r="105" spans="1:10" x14ac:dyDescent="0.55000000000000004">
      <c r="C105" s="10">
        <v>1</v>
      </c>
      <c r="D105" s="10">
        <v>2</v>
      </c>
      <c r="E105" s="10">
        <v>3</v>
      </c>
      <c r="F105" s="20">
        <v>4</v>
      </c>
    </row>
    <row r="106" spans="1:10" x14ac:dyDescent="0.55000000000000004">
      <c r="A106" s="36" t="s">
        <v>12</v>
      </c>
      <c r="B106" s="1">
        <v>1</v>
      </c>
      <c r="C106" s="11" t="s">
        <v>14</v>
      </c>
      <c r="D106" s="1">
        <v>1</v>
      </c>
      <c r="E106" s="1"/>
      <c r="F106" s="1"/>
      <c r="G106" s="4">
        <f>SUMPRODUCT(C106:F109,$C$16:$F$19)</f>
        <v>1</v>
      </c>
      <c r="H106" s="17" t="s">
        <v>17</v>
      </c>
      <c r="I106" s="14">
        <v>1</v>
      </c>
      <c r="J106" t="b">
        <f>IF(G106&lt;=I106,TRUE,FALSE)</f>
        <v>1</v>
      </c>
    </row>
    <row r="107" spans="1:10" x14ac:dyDescent="0.55000000000000004">
      <c r="A107" s="36"/>
      <c r="B107" s="1">
        <v>2</v>
      </c>
      <c r="C107" s="1">
        <v>1</v>
      </c>
      <c r="D107" s="11"/>
      <c r="E107" s="1"/>
      <c r="F107" s="1"/>
    </row>
    <row r="108" spans="1:10" x14ac:dyDescent="0.55000000000000004">
      <c r="A108" s="36"/>
      <c r="B108" s="1">
        <v>3</v>
      </c>
      <c r="C108" s="1"/>
      <c r="D108" s="1"/>
      <c r="E108" s="11"/>
      <c r="F108" s="18"/>
    </row>
    <row r="109" spans="1:10" x14ac:dyDescent="0.55000000000000004">
      <c r="A109" s="36"/>
      <c r="B109" s="19">
        <v>4</v>
      </c>
      <c r="C109" s="1"/>
      <c r="D109" s="1"/>
      <c r="E109" s="1"/>
      <c r="F109" s="1"/>
    </row>
    <row r="110" spans="1:10" x14ac:dyDescent="0.55000000000000004">
      <c r="B110" s="14"/>
    </row>
    <row r="111" spans="1:10" x14ac:dyDescent="0.55000000000000004">
      <c r="B111" s="37" t="s">
        <v>16</v>
      </c>
      <c r="C111" s="37"/>
      <c r="D111" s="37"/>
      <c r="E111" s="37"/>
      <c r="F111" s="33"/>
    </row>
    <row r="112" spans="1:10" x14ac:dyDescent="0.55000000000000004">
      <c r="C112" s="38" t="s">
        <v>11</v>
      </c>
      <c r="D112" s="38"/>
      <c r="E112" s="38"/>
      <c r="F112" s="38"/>
    </row>
    <row r="113" spans="1:10" x14ac:dyDescent="0.55000000000000004">
      <c r="C113" s="10">
        <v>1</v>
      </c>
      <c r="D113" s="10">
        <v>2</v>
      </c>
      <c r="E113" s="10">
        <v>3</v>
      </c>
      <c r="F113" s="20">
        <v>4</v>
      </c>
    </row>
    <row r="114" spans="1:10" x14ac:dyDescent="0.55000000000000004">
      <c r="A114" s="36" t="s">
        <v>12</v>
      </c>
      <c r="B114" s="1">
        <v>1</v>
      </c>
      <c r="C114" s="11" t="s">
        <v>14</v>
      </c>
      <c r="D114" s="1"/>
      <c r="E114" s="1">
        <v>1</v>
      </c>
      <c r="F114" s="1"/>
      <c r="G114" s="4">
        <f>SUMPRODUCT(C114:F117,$C$16:$F$19)</f>
        <v>0</v>
      </c>
      <c r="H114" s="17" t="s">
        <v>17</v>
      </c>
      <c r="I114" s="14">
        <v>1</v>
      </c>
      <c r="J114" t="b">
        <f>IF(G114&lt;=I114,TRUE,FALSE)</f>
        <v>1</v>
      </c>
    </row>
    <row r="115" spans="1:10" x14ac:dyDescent="0.55000000000000004">
      <c r="A115" s="36"/>
      <c r="B115" s="1">
        <v>2</v>
      </c>
      <c r="C115" s="1"/>
      <c r="D115" s="11"/>
      <c r="E115" s="1"/>
      <c r="F115" s="1"/>
    </row>
    <row r="116" spans="1:10" x14ac:dyDescent="0.55000000000000004">
      <c r="A116" s="36"/>
      <c r="B116" s="1">
        <v>3</v>
      </c>
      <c r="C116" s="1">
        <v>1</v>
      </c>
      <c r="D116" s="1"/>
      <c r="E116" s="11"/>
      <c r="F116" s="18"/>
    </row>
    <row r="117" spans="1:10" x14ac:dyDescent="0.55000000000000004">
      <c r="A117" s="36"/>
      <c r="B117" s="19">
        <v>4</v>
      </c>
      <c r="C117" s="1"/>
      <c r="D117" s="1"/>
      <c r="E117" s="1"/>
      <c r="F117" s="1"/>
    </row>
    <row r="118" spans="1:10" x14ac:dyDescent="0.55000000000000004">
      <c r="B118" s="14"/>
    </row>
    <row r="119" spans="1:10" x14ac:dyDescent="0.55000000000000004">
      <c r="B119" s="37" t="s">
        <v>16</v>
      </c>
      <c r="C119" s="37"/>
      <c r="D119" s="37"/>
      <c r="E119" s="37"/>
      <c r="F119" s="33"/>
    </row>
    <row r="120" spans="1:10" x14ac:dyDescent="0.55000000000000004">
      <c r="C120" s="38" t="s">
        <v>11</v>
      </c>
      <c r="D120" s="38"/>
      <c r="E120" s="38"/>
      <c r="F120" s="38"/>
    </row>
    <row r="121" spans="1:10" x14ac:dyDescent="0.55000000000000004">
      <c r="C121" s="10">
        <v>1</v>
      </c>
      <c r="D121" s="10">
        <v>2</v>
      </c>
      <c r="E121" s="10">
        <v>3</v>
      </c>
      <c r="F121" s="20">
        <v>4</v>
      </c>
    </row>
    <row r="122" spans="1:10" x14ac:dyDescent="0.55000000000000004">
      <c r="A122" s="36" t="s">
        <v>12</v>
      </c>
      <c r="B122" s="1">
        <v>1</v>
      </c>
      <c r="C122" s="11" t="s">
        <v>14</v>
      </c>
      <c r="D122" s="1"/>
      <c r="E122" s="1"/>
      <c r="F122" s="1">
        <v>1</v>
      </c>
      <c r="G122" s="4">
        <f>SUMPRODUCT(C122:F125,$C$16:$F$19)</f>
        <v>1</v>
      </c>
      <c r="H122" s="17" t="s">
        <v>17</v>
      </c>
      <c r="I122" s="14">
        <v>1</v>
      </c>
      <c r="J122" t="b">
        <f>IF(G122&lt;=I122,TRUE,FALSE)</f>
        <v>1</v>
      </c>
    </row>
    <row r="123" spans="1:10" x14ac:dyDescent="0.55000000000000004">
      <c r="A123" s="36"/>
      <c r="B123" s="1">
        <v>2</v>
      </c>
      <c r="C123" s="1"/>
      <c r="D123" s="11"/>
      <c r="E123" s="1"/>
      <c r="F123" s="1"/>
    </row>
    <row r="124" spans="1:10" x14ac:dyDescent="0.55000000000000004">
      <c r="A124" s="36"/>
      <c r="B124" s="1">
        <v>3</v>
      </c>
      <c r="C124" s="1"/>
      <c r="D124" s="1"/>
      <c r="E124" s="11"/>
      <c r="F124" s="18"/>
    </row>
    <row r="125" spans="1:10" x14ac:dyDescent="0.55000000000000004">
      <c r="A125" s="36"/>
      <c r="B125" s="19">
        <v>4</v>
      </c>
      <c r="C125" s="1">
        <v>1</v>
      </c>
      <c r="D125" s="1"/>
      <c r="E125" s="1"/>
      <c r="F125" s="1"/>
    </row>
    <row r="126" spans="1:10" x14ac:dyDescent="0.55000000000000004">
      <c r="A126" s="12"/>
      <c r="B126" s="14"/>
      <c r="C126" s="4"/>
      <c r="D126" s="4"/>
      <c r="E126" s="4"/>
      <c r="F126" s="4"/>
    </row>
    <row r="127" spans="1:10" x14ac:dyDescent="0.55000000000000004">
      <c r="B127" s="37" t="s">
        <v>16</v>
      </c>
      <c r="C127" s="37"/>
      <c r="D127" s="37"/>
      <c r="E127" s="37"/>
      <c r="F127" s="33"/>
    </row>
    <row r="128" spans="1:10" x14ac:dyDescent="0.55000000000000004">
      <c r="C128" s="38" t="s">
        <v>11</v>
      </c>
      <c r="D128" s="38"/>
      <c r="E128" s="38"/>
      <c r="F128" s="38"/>
    </row>
    <row r="129" spans="1:10" x14ac:dyDescent="0.55000000000000004">
      <c r="C129" s="10">
        <v>1</v>
      </c>
      <c r="D129" s="10">
        <v>2</v>
      </c>
      <c r="E129" s="10">
        <v>3</v>
      </c>
      <c r="F129" s="20">
        <v>4</v>
      </c>
    </row>
    <row r="130" spans="1:10" x14ac:dyDescent="0.55000000000000004">
      <c r="A130" s="36" t="s">
        <v>12</v>
      </c>
      <c r="B130" s="1">
        <v>1</v>
      </c>
      <c r="C130" s="11" t="s">
        <v>14</v>
      </c>
      <c r="D130" s="1"/>
      <c r="E130" s="1"/>
      <c r="F130" s="1"/>
      <c r="G130" s="4">
        <f>SUMPRODUCT(C130:F133,$C$16:$F$19)</f>
        <v>1</v>
      </c>
      <c r="H130" s="17" t="s">
        <v>17</v>
      </c>
      <c r="I130" s="14">
        <v>1</v>
      </c>
      <c r="J130" t="b">
        <f>IF(G130&lt;=I130,TRUE,FALSE)</f>
        <v>1</v>
      </c>
    </row>
    <row r="131" spans="1:10" x14ac:dyDescent="0.55000000000000004">
      <c r="A131" s="36"/>
      <c r="B131" s="1">
        <v>2</v>
      </c>
      <c r="C131" s="1"/>
      <c r="D131" s="11"/>
      <c r="E131" s="1">
        <v>1</v>
      </c>
      <c r="F131" s="1"/>
    </row>
    <row r="132" spans="1:10" x14ac:dyDescent="0.55000000000000004">
      <c r="A132" s="36"/>
      <c r="B132" s="1">
        <v>3</v>
      </c>
      <c r="C132" s="1"/>
      <c r="D132" s="1">
        <v>1</v>
      </c>
      <c r="E132" s="11"/>
      <c r="F132" s="18"/>
    </row>
    <row r="133" spans="1:10" x14ac:dyDescent="0.55000000000000004">
      <c r="A133" s="36"/>
      <c r="B133" s="19">
        <v>4</v>
      </c>
      <c r="C133" s="1"/>
      <c r="D133" s="1"/>
      <c r="E133" s="1"/>
      <c r="F133" s="1"/>
    </row>
    <row r="134" spans="1:10" x14ac:dyDescent="0.55000000000000004">
      <c r="A134" s="12"/>
      <c r="B134" s="14"/>
      <c r="C134" s="4"/>
      <c r="D134" s="4"/>
      <c r="E134" s="4"/>
      <c r="F134" s="4"/>
    </row>
    <row r="135" spans="1:10" x14ac:dyDescent="0.55000000000000004">
      <c r="B135" s="37" t="s">
        <v>16</v>
      </c>
      <c r="C135" s="37"/>
      <c r="D135" s="37"/>
      <c r="E135" s="37"/>
      <c r="F135" s="33"/>
    </row>
    <row r="136" spans="1:10" x14ac:dyDescent="0.55000000000000004">
      <c r="C136" s="38" t="s">
        <v>11</v>
      </c>
      <c r="D136" s="38"/>
      <c r="E136" s="38"/>
      <c r="F136" s="38"/>
    </row>
    <row r="137" spans="1:10" x14ac:dyDescent="0.55000000000000004">
      <c r="C137" s="10">
        <v>1</v>
      </c>
      <c r="D137" s="10">
        <v>2</v>
      </c>
      <c r="E137" s="10">
        <v>3</v>
      </c>
      <c r="F137" s="20">
        <v>4</v>
      </c>
    </row>
    <row r="138" spans="1:10" x14ac:dyDescent="0.55000000000000004">
      <c r="A138" s="36" t="s">
        <v>12</v>
      </c>
      <c r="B138" s="1">
        <v>1</v>
      </c>
      <c r="C138" s="11" t="s">
        <v>14</v>
      </c>
      <c r="D138" s="1"/>
      <c r="E138" s="1"/>
      <c r="F138" s="1"/>
      <c r="G138" s="4">
        <f>SUMPRODUCT(C138:F141,$C$16:$F$19)</f>
        <v>0</v>
      </c>
      <c r="H138" s="17" t="s">
        <v>17</v>
      </c>
      <c r="I138" s="14">
        <v>1</v>
      </c>
      <c r="J138" t="b">
        <f>IF(G138&lt;=I138,TRUE,FALSE)</f>
        <v>1</v>
      </c>
    </row>
    <row r="139" spans="1:10" x14ac:dyDescent="0.55000000000000004">
      <c r="A139" s="36"/>
      <c r="B139" s="1">
        <v>2</v>
      </c>
      <c r="C139" s="1"/>
      <c r="D139" s="11"/>
      <c r="E139" s="1"/>
      <c r="F139" s="1">
        <v>1</v>
      </c>
    </row>
    <row r="140" spans="1:10" x14ac:dyDescent="0.55000000000000004">
      <c r="A140" s="36"/>
      <c r="B140" s="1">
        <v>3</v>
      </c>
      <c r="C140" s="1"/>
      <c r="D140" s="1"/>
      <c r="E140" s="11"/>
      <c r="F140" s="18"/>
    </row>
    <row r="141" spans="1:10" x14ac:dyDescent="0.55000000000000004">
      <c r="A141" s="36"/>
      <c r="B141" s="19">
        <v>4</v>
      </c>
      <c r="C141" s="1"/>
      <c r="D141" s="1">
        <v>1</v>
      </c>
      <c r="E141" s="1"/>
      <c r="F141" s="1"/>
    </row>
    <row r="142" spans="1:10" x14ac:dyDescent="0.55000000000000004">
      <c r="A142" s="12"/>
      <c r="B142" s="14"/>
      <c r="C142" s="4"/>
      <c r="D142" s="4"/>
      <c r="E142" s="4"/>
      <c r="F142" s="4"/>
    </row>
    <row r="143" spans="1:10" x14ac:dyDescent="0.55000000000000004">
      <c r="B143" s="37" t="s">
        <v>16</v>
      </c>
      <c r="C143" s="37"/>
      <c r="D143" s="37"/>
      <c r="E143" s="37"/>
      <c r="F143" s="33"/>
    </row>
    <row r="144" spans="1:10" x14ac:dyDescent="0.55000000000000004">
      <c r="C144" s="38" t="s">
        <v>11</v>
      </c>
      <c r="D144" s="38"/>
      <c r="E144" s="38"/>
      <c r="F144" s="38"/>
    </row>
    <row r="145" spans="1:10" x14ac:dyDescent="0.55000000000000004">
      <c r="C145" s="10">
        <v>1</v>
      </c>
      <c r="D145" s="10">
        <v>2</v>
      </c>
      <c r="E145" s="10">
        <v>3</v>
      </c>
      <c r="F145" s="20">
        <v>4</v>
      </c>
    </row>
    <row r="146" spans="1:10" x14ac:dyDescent="0.55000000000000004">
      <c r="A146" s="36" t="s">
        <v>12</v>
      </c>
      <c r="B146" s="1">
        <v>1</v>
      </c>
      <c r="C146" s="11" t="s">
        <v>14</v>
      </c>
      <c r="D146" s="1"/>
      <c r="E146" s="1"/>
      <c r="F146" s="1"/>
      <c r="G146" s="4">
        <f>SUMPRODUCT(C146:F149,$C$16:$F$19)</f>
        <v>1</v>
      </c>
      <c r="H146" s="17" t="s">
        <v>17</v>
      </c>
      <c r="I146" s="14">
        <v>1</v>
      </c>
      <c r="J146" t="b">
        <f>IF(G146&lt;=I146,TRUE,FALSE)</f>
        <v>1</v>
      </c>
    </row>
    <row r="147" spans="1:10" x14ac:dyDescent="0.55000000000000004">
      <c r="A147" s="36"/>
      <c r="B147" s="1">
        <v>2</v>
      </c>
      <c r="C147" s="1"/>
      <c r="D147" s="11"/>
      <c r="E147" s="1"/>
      <c r="F147" s="1"/>
    </row>
    <row r="148" spans="1:10" x14ac:dyDescent="0.55000000000000004">
      <c r="A148" s="36"/>
      <c r="B148" s="1">
        <v>3</v>
      </c>
      <c r="C148" s="1"/>
      <c r="D148" s="1"/>
      <c r="E148" s="11"/>
      <c r="F148" s="18">
        <v>1</v>
      </c>
    </row>
    <row r="149" spans="1:10" x14ac:dyDescent="0.55000000000000004">
      <c r="A149" s="36"/>
      <c r="B149" s="19">
        <v>4</v>
      </c>
      <c r="C149" s="1"/>
      <c r="D149" s="1"/>
      <c r="E149" s="1">
        <v>1</v>
      </c>
      <c r="F149" s="1"/>
    </row>
    <row r="150" spans="1:10" x14ac:dyDescent="0.55000000000000004">
      <c r="A150" s="12"/>
      <c r="B150" s="14"/>
      <c r="C150" s="4"/>
      <c r="D150" s="4"/>
      <c r="E150" s="4"/>
      <c r="F150" s="4"/>
    </row>
    <row r="151" spans="1:10" x14ac:dyDescent="0.55000000000000004">
      <c r="A151" s="12"/>
      <c r="B151" s="14"/>
      <c r="C151" s="4"/>
      <c r="D151" s="4"/>
      <c r="E151" s="4"/>
      <c r="F151" s="4"/>
    </row>
    <row r="152" spans="1:10" x14ac:dyDescent="0.55000000000000004">
      <c r="A152" s="12"/>
      <c r="B152" s="14"/>
      <c r="C152" s="4" t="s">
        <v>26</v>
      </c>
      <c r="D152" s="4"/>
      <c r="E152" s="4"/>
      <c r="F152" s="4"/>
    </row>
    <row r="153" spans="1:10" x14ac:dyDescent="0.55000000000000004">
      <c r="C153" s="1">
        <f>C20</f>
        <v>1</v>
      </c>
      <c r="D153" s="1">
        <f t="shared" ref="D153:F153" si="4">D20</f>
        <v>1</v>
      </c>
      <c r="E153" s="1">
        <f t="shared" si="4"/>
        <v>1</v>
      </c>
      <c r="F153" s="1">
        <f t="shared" si="4"/>
        <v>1</v>
      </c>
    </row>
    <row r="154" spans="1:10" x14ac:dyDescent="0.55000000000000004">
      <c r="C154" s="34" t="s">
        <v>15</v>
      </c>
      <c r="D154" s="34" t="s">
        <v>15</v>
      </c>
      <c r="E154" s="34" t="s">
        <v>15</v>
      </c>
      <c r="F154" s="34" t="s">
        <v>15</v>
      </c>
    </row>
    <row r="155" spans="1:10" x14ac:dyDescent="0.55000000000000004">
      <c r="C155" s="1">
        <v>1</v>
      </c>
      <c r="D155" s="1">
        <v>1</v>
      </c>
      <c r="E155" s="1">
        <v>1</v>
      </c>
      <c r="F155" s="1">
        <v>1</v>
      </c>
    </row>
    <row r="156" spans="1:10" x14ac:dyDescent="0.55000000000000004">
      <c r="C156" s="4"/>
      <c r="D156" s="4"/>
      <c r="E156" s="4"/>
      <c r="F156" s="4"/>
    </row>
    <row r="157" spans="1:10" x14ac:dyDescent="0.55000000000000004">
      <c r="C157" t="s">
        <v>27</v>
      </c>
    </row>
    <row r="158" spans="1:10" x14ac:dyDescent="0.55000000000000004">
      <c r="C158" s="1">
        <f>G16</f>
        <v>1</v>
      </c>
      <c r="D158" s="34" t="s">
        <v>15</v>
      </c>
      <c r="E158" s="1">
        <v>1</v>
      </c>
    </row>
    <row r="159" spans="1:10" x14ac:dyDescent="0.55000000000000004">
      <c r="C159" s="1">
        <f>G17</f>
        <v>1</v>
      </c>
      <c r="D159" s="34" t="s">
        <v>15</v>
      </c>
      <c r="E159" s="1">
        <v>1</v>
      </c>
    </row>
    <row r="160" spans="1:10" x14ac:dyDescent="0.55000000000000004">
      <c r="C160" s="1">
        <f>G18</f>
        <v>1</v>
      </c>
      <c r="D160" s="34" t="s">
        <v>15</v>
      </c>
      <c r="E160" s="1">
        <v>1</v>
      </c>
    </row>
    <row r="161" spans="3:5" x14ac:dyDescent="0.55000000000000004">
      <c r="C161" s="1">
        <f>G19</f>
        <v>1</v>
      </c>
      <c r="D161" s="34" t="s">
        <v>15</v>
      </c>
      <c r="E161" s="1">
        <v>1</v>
      </c>
    </row>
  </sheetData>
  <mergeCells count="55">
    <mergeCell ref="A146:A149"/>
    <mergeCell ref="A130:A133"/>
    <mergeCell ref="B135:E135"/>
    <mergeCell ref="C136:F136"/>
    <mergeCell ref="A138:A141"/>
    <mergeCell ref="B143:E143"/>
    <mergeCell ref="C144:F144"/>
    <mergeCell ref="A114:A117"/>
    <mergeCell ref="B119:E119"/>
    <mergeCell ref="C120:F120"/>
    <mergeCell ref="A122:A125"/>
    <mergeCell ref="B127:E127"/>
    <mergeCell ref="C128:F128"/>
    <mergeCell ref="A98:A101"/>
    <mergeCell ref="B103:E103"/>
    <mergeCell ref="C104:F104"/>
    <mergeCell ref="A106:A109"/>
    <mergeCell ref="B111:E111"/>
    <mergeCell ref="C112:F112"/>
    <mergeCell ref="A82:A85"/>
    <mergeCell ref="B87:E87"/>
    <mergeCell ref="C88:F88"/>
    <mergeCell ref="A90:A93"/>
    <mergeCell ref="B95:E95"/>
    <mergeCell ref="C96:F96"/>
    <mergeCell ref="A66:A69"/>
    <mergeCell ref="B71:E71"/>
    <mergeCell ref="C72:F72"/>
    <mergeCell ref="A74:A77"/>
    <mergeCell ref="B79:E79"/>
    <mergeCell ref="C80:F80"/>
    <mergeCell ref="A50:A53"/>
    <mergeCell ref="B55:E55"/>
    <mergeCell ref="C56:F56"/>
    <mergeCell ref="A58:A61"/>
    <mergeCell ref="B63:E63"/>
    <mergeCell ref="C64:F64"/>
    <mergeCell ref="A34:A37"/>
    <mergeCell ref="B39:E39"/>
    <mergeCell ref="C40:F40"/>
    <mergeCell ref="A42:A45"/>
    <mergeCell ref="B47:E47"/>
    <mergeCell ref="C48:F48"/>
    <mergeCell ref="A16:A19"/>
    <mergeCell ref="A23:A24"/>
    <mergeCell ref="C23:F23"/>
    <mergeCell ref="A25:A28"/>
    <mergeCell ref="B31:E31"/>
    <mergeCell ref="C32:F32"/>
    <mergeCell ref="D1:O3"/>
    <mergeCell ref="A6:B6"/>
    <mergeCell ref="C6:F6"/>
    <mergeCell ref="A8:A11"/>
    <mergeCell ref="A14:A15"/>
    <mergeCell ref="C14:F14"/>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61"/>
  <sheetViews>
    <sheetView zoomScale="120" zoomScaleNormal="120" workbookViewId="0">
      <selection activeCell="C18" sqref="C18"/>
    </sheetView>
  </sheetViews>
  <sheetFormatPr defaultRowHeight="15.3" x14ac:dyDescent="0.55000000000000004"/>
  <cols>
    <col min="1" max="1" width="17.59765625" customWidth="1"/>
    <col min="2" max="2" width="8.75" customWidth="1"/>
    <col min="5" max="6" width="10.25" customWidth="1"/>
    <col min="7" max="7" width="5" customWidth="1"/>
    <col min="8" max="8" width="6.84765625" customWidth="1"/>
    <col min="9" max="9" width="4.5" customWidth="1"/>
    <col min="12" max="12" width="11.59765625" customWidth="1"/>
  </cols>
  <sheetData>
    <row r="1" spans="1:15" ht="31.5" customHeight="1" x14ac:dyDescent="0.55000000000000004">
      <c r="A1" s="32" t="s">
        <v>0</v>
      </c>
      <c r="B1" s="1">
        <f>SUMPRODUCT(C8:F11,C16:F19)</f>
        <v>27.5</v>
      </c>
      <c r="D1" s="41" t="s">
        <v>18</v>
      </c>
      <c r="E1" s="41"/>
      <c r="F1" s="41"/>
      <c r="G1" s="41"/>
      <c r="H1" s="41"/>
      <c r="I1" s="41"/>
      <c r="J1" s="41"/>
      <c r="K1" s="41"/>
      <c r="L1" s="41"/>
      <c r="M1" s="41"/>
      <c r="N1" s="41"/>
      <c r="O1" s="41"/>
    </row>
    <row r="2" spans="1:15" ht="23.25" customHeight="1" x14ac:dyDescent="0.55000000000000004">
      <c r="A2" s="32" t="s">
        <v>3</v>
      </c>
      <c r="B2" s="1">
        <f>CEILING(B1,1)</f>
        <v>28</v>
      </c>
      <c r="D2" s="41"/>
      <c r="E2" s="41"/>
      <c r="F2" s="41"/>
      <c r="G2" s="41"/>
      <c r="H2" s="41"/>
      <c r="I2" s="41"/>
      <c r="J2" s="41"/>
      <c r="K2" s="41"/>
      <c r="L2" s="41"/>
      <c r="M2" s="41"/>
      <c r="N2" s="41"/>
      <c r="O2" s="41"/>
    </row>
    <row r="3" spans="1:15" ht="23.25" customHeight="1" x14ac:dyDescent="0.55000000000000004">
      <c r="A3" s="32" t="s">
        <v>23</v>
      </c>
      <c r="B3" s="1" t="b">
        <f>IF(AND(D25,E25,E26,C26,C27,D27,F25,F26,F27,C28,D28,E28),TRUE,FALSE)</f>
        <v>1</v>
      </c>
      <c r="D3" s="41"/>
      <c r="E3" s="41"/>
      <c r="F3" s="41"/>
      <c r="G3" s="41"/>
      <c r="H3" s="41"/>
      <c r="I3" s="41"/>
      <c r="J3" s="41"/>
      <c r="K3" s="41"/>
      <c r="L3" s="41"/>
      <c r="M3" s="41"/>
      <c r="N3" s="41"/>
      <c r="O3" s="41"/>
    </row>
    <row r="4" spans="1:15" ht="23.25" customHeight="1" x14ac:dyDescent="0.55000000000000004">
      <c r="A4" s="32" t="s">
        <v>22</v>
      </c>
      <c r="B4" s="1" t="b">
        <f>AND(H16:H19,C21:F21,J34,J42,J50,J58,J66,J74,J82,J90,J98,J106,J114,J122,J130,J138,J146)</f>
        <v>0</v>
      </c>
      <c r="D4" s="27"/>
      <c r="E4" s="27"/>
      <c r="F4" s="27"/>
      <c r="G4" s="27"/>
      <c r="H4" s="27"/>
      <c r="I4" s="27"/>
      <c r="J4" s="27"/>
      <c r="K4" s="27"/>
      <c r="L4" s="27"/>
      <c r="M4" s="27"/>
      <c r="N4" s="27"/>
      <c r="O4" s="27"/>
    </row>
    <row r="5" spans="1:15" x14ac:dyDescent="0.55000000000000004">
      <c r="A5" s="3"/>
      <c r="B5" s="4"/>
    </row>
    <row r="6" spans="1:15" ht="31.5" customHeight="1" x14ac:dyDescent="0.55000000000000004">
      <c r="A6" s="42" t="s">
        <v>21</v>
      </c>
      <c r="B6" s="42"/>
      <c r="C6" s="38" t="s">
        <v>11</v>
      </c>
      <c r="D6" s="38"/>
      <c r="E6" s="38"/>
      <c r="F6" s="38"/>
    </row>
    <row r="7" spans="1:15" x14ac:dyDescent="0.55000000000000004">
      <c r="A7" s="4"/>
      <c r="B7" s="35"/>
      <c r="C7" s="6">
        <v>1</v>
      </c>
      <c r="D7" s="6">
        <v>2</v>
      </c>
      <c r="E7" s="6">
        <v>3</v>
      </c>
      <c r="F7" s="6">
        <v>4</v>
      </c>
    </row>
    <row r="8" spans="1:15" x14ac:dyDescent="0.55000000000000004">
      <c r="A8" s="36" t="s">
        <v>12</v>
      </c>
      <c r="B8" s="5">
        <v>1</v>
      </c>
      <c r="C8" s="11"/>
      <c r="D8" s="6">
        <v>9.5</v>
      </c>
      <c r="E8" s="6">
        <v>12</v>
      </c>
      <c r="F8" s="6">
        <v>10</v>
      </c>
    </row>
    <row r="9" spans="1:15" x14ac:dyDescent="0.55000000000000004">
      <c r="A9" s="36"/>
      <c r="B9" s="5">
        <v>2</v>
      </c>
      <c r="C9" s="6">
        <v>6</v>
      </c>
      <c r="D9" s="11"/>
      <c r="E9" s="6">
        <v>10</v>
      </c>
      <c r="F9" s="6">
        <v>14</v>
      </c>
    </row>
    <row r="10" spans="1:15" x14ac:dyDescent="0.55000000000000004">
      <c r="A10" s="36"/>
      <c r="B10" s="5">
        <v>3</v>
      </c>
      <c r="C10" s="6">
        <v>10</v>
      </c>
      <c r="D10" s="6">
        <v>11</v>
      </c>
      <c r="E10" s="11"/>
      <c r="F10" s="6">
        <v>12</v>
      </c>
    </row>
    <row r="11" spans="1:15" x14ac:dyDescent="0.55000000000000004">
      <c r="A11" s="36"/>
      <c r="B11" s="5">
        <v>4</v>
      </c>
      <c r="C11" s="6">
        <v>7</v>
      </c>
      <c r="D11" s="6">
        <v>8</v>
      </c>
      <c r="E11" s="6">
        <v>15</v>
      </c>
      <c r="F11" s="11"/>
    </row>
    <row r="12" spans="1:15" x14ac:dyDescent="0.55000000000000004">
      <c r="A12" s="3"/>
      <c r="B12" s="4"/>
    </row>
    <row r="13" spans="1:15" x14ac:dyDescent="0.55000000000000004">
      <c r="A13" s="7" t="s">
        <v>4</v>
      </c>
    </row>
    <row r="14" spans="1:15" x14ac:dyDescent="0.55000000000000004">
      <c r="A14" s="39" t="s">
        <v>1</v>
      </c>
      <c r="C14" s="38" t="s">
        <v>11</v>
      </c>
      <c r="D14" s="38"/>
      <c r="E14" s="38"/>
      <c r="F14" s="38"/>
    </row>
    <row r="15" spans="1:15" x14ac:dyDescent="0.55000000000000004">
      <c r="A15" s="40"/>
      <c r="C15" s="24">
        <v>1</v>
      </c>
      <c r="D15" s="24">
        <v>2</v>
      </c>
      <c r="E15" s="24">
        <v>3</v>
      </c>
      <c r="F15" s="25">
        <v>4</v>
      </c>
    </row>
    <row r="16" spans="1:15" x14ac:dyDescent="0.55000000000000004">
      <c r="A16" s="36" t="s">
        <v>12</v>
      </c>
      <c r="B16" s="22">
        <v>1</v>
      </c>
      <c r="C16" s="11">
        <v>0</v>
      </c>
      <c r="D16" s="43">
        <v>1</v>
      </c>
      <c r="E16" s="1">
        <v>0</v>
      </c>
      <c r="F16" s="1">
        <v>0</v>
      </c>
      <c r="G16" s="28">
        <f>SUM(C16:F16)</f>
        <v>1</v>
      </c>
      <c r="H16" s="1" t="b">
        <f>IF(G16=1,TRUE,FALSE)</f>
        <v>1</v>
      </c>
    </row>
    <row r="17" spans="1:9" x14ac:dyDescent="0.55000000000000004">
      <c r="A17" s="36"/>
      <c r="B17" s="22">
        <v>2</v>
      </c>
      <c r="C17" s="43">
        <v>1</v>
      </c>
      <c r="D17" s="11">
        <v>0</v>
      </c>
      <c r="E17" s="1">
        <v>0</v>
      </c>
      <c r="F17" s="1">
        <v>0</v>
      </c>
      <c r="G17" s="28">
        <f t="shared" ref="G17:G19" si="0">SUM(C17:F17)</f>
        <v>1</v>
      </c>
      <c r="H17" s="1" t="b">
        <f t="shared" ref="H17:H19" si="1">IF(G17=1,TRUE,FALSE)</f>
        <v>1</v>
      </c>
    </row>
    <row r="18" spans="1:9" x14ac:dyDescent="0.55000000000000004">
      <c r="A18" s="36"/>
      <c r="B18" s="22">
        <v>3</v>
      </c>
      <c r="C18" s="1">
        <v>0</v>
      </c>
      <c r="D18" s="1">
        <v>0</v>
      </c>
      <c r="E18" s="11">
        <v>0</v>
      </c>
      <c r="F18" s="18">
        <v>1</v>
      </c>
      <c r="G18" s="28">
        <f t="shared" si="0"/>
        <v>1</v>
      </c>
      <c r="H18" s="1" t="b">
        <f t="shared" si="1"/>
        <v>1</v>
      </c>
    </row>
    <row r="19" spans="1:9" x14ac:dyDescent="0.55000000000000004">
      <c r="A19" s="36"/>
      <c r="B19" s="23">
        <v>4</v>
      </c>
      <c r="C19" s="1">
        <v>0</v>
      </c>
      <c r="D19" s="1">
        <v>0</v>
      </c>
      <c r="E19" s="18">
        <v>0</v>
      </c>
      <c r="F19" s="11">
        <v>0</v>
      </c>
      <c r="G19" s="28">
        <f t="shared" si="0"/>
        <v>0</v>
      </c>
      <c r="H19" s="1" t="b">
        <f t="shared" si="1"/>
        <v>0</v>
      </c>
    </row>
    <row r="20" spans="1:9" x14ac:dyDescent="0.55000000000000004">
      <c r="A20" s="12"/>
      <c r="B20" s="4"/>
      <c r="C20" s="29">
        <f>SUM(C16:C19)</f>
        <v>1</v>
      </c>
      <c r="D20" s="29">
        <f t="shared" ref="D20:F20" si="2">SUM(D16:D19)</f>
        <v>1</v>
      </c>
      <c r="E20" s="29">
        <f t="shared" si="2"/>
        <v>0</v>
      </c>
      <c r="F20" s="29">
        <f t="shared" si="2"/>
        <v>1</v>
      </c>
    </row>
    <row r="21" spans="1:9" x14ac:dyDescent="0.55000000000000004">
      <c r="A21" s="12"/>
      <c r="B21" s="4"/>
      <c r="C21" s="1" t="b">
        <f>IF(C20=1,TRUE,FALSE)</f>
        <v>1</v>
      </c>
      <c r="D21" s="1" t="b">
        <f t="shared" ref="D21:F21" si="3">IF(D20=1,TRUE,FALSE)</f>
        <v>1</v>
      </c>
      <c r="E21" s="1" t="b">
        <f t="shared" si="3"/>
        <v>0</v>
      </c>
      <c r="F21" s="1" t="b">
        <f t="shared" si="3"/>
        <v>1</v>
      </c>
    </row>
    <row r="22" spans="1:9" x14ac:dyDescent="0.55000000000000004">
      <c r="A22" s="12"/>
      <c r="B22" s="4"/>
      <c r="C22" s="4"/>
      <c r="D22" s="4"/>
      <c r="E22" s="15"/>
      <c r="F22" s="15"/>
    </row>
    <row r="23" spans="1:9" x14ac:dyDescent="0.55000000000000004">
      <c r="A23" s="39" t="s">
        <v>13</v>
      </c>
      <c r="C23" s="38" t="s">
        <v>11</v>
      </c>
      <c r="D23" s="38"/>
      <c r="E23" s="38"/>
      <c r="F23" s="38"/>
    </row>
    <row r="24" spans="1:9" x14ac:dyDescent="0.55000000000000004">
      <c r="A24" s="40"/>
      <c r="C24" s="24">
        <v>1</v>
      </c>
      <c r="D24" s="24">
        <v>2</v>
      </c>
      <c r="E24" s="24">
        <v>3</v>
      </c>
      <c r="F24" s="25">
        <v>4</v>
      </c>
    </row>
    <row r="25" spans="1:9" x14ac:dyDescent="0.55000000000000004">
      <c r="A25" s="36" t="s">
        <v>12</v>
      </c>
      <c r="B25" s="1">
        <v>1</v>
      </c>
      <c r="C25" s="11"/>
      <c r="D25" s="1" t="b">
        <f>IF(D16=FLOOR(D16,1),TRUE,FALSE)</f>
        <v>1</v>
      </c>
      <c r="E25" s="1" t="b">
        <f>IF(E16=FLOOR(E16,1),TRUE,FALSE)</f>
        <v>1</v>
      </c>
      <c r="F25" s="1" t="b">
        <f>IF(F16=FLOOR(F16,1),TRUE,FALSE)</f>
        <v>1</v>
      </c>
    </row>
    <row r="26" spans="1:9" x14ac:dyDescent="0.55000000000000004">
      <c r="A26" s="36"/>
      <c r="B26" s="1">
        <v>2</v>
      </c>
      <c r="C26" s="1" t="b">
        <f>IF(C17=FLOOR(C17,1),TRUE,FALSE)</f>
        <v>1</v>
      </c>
      <c r="D26" s="11"/>
      <c r="E26" s="1" t="b">
        <f>IF(E17=FLOOR(E17,1),TRUE,FALSE)</f>
        <v>1</v>
      </c>
      <c r="F26" s="1" t="b">
        <f>IF(F17=FLOOR(F17,1),TRUE,FALSE)</f>
        <v>1</v>
      </c>
    </row>
    <row r="27" spans="1:9" x14ac:dyDescent="0.55000000000000004">
      <c r="A27" s="36"/>
      <c r="B27" s="1">
        <v>3</v>
      </c>
      <c r="C27" s="1" t="b">
        <f>IF(C18=FLOOR(C18,1),TRUE,FALSE)</f>
        <v>1</v>
      </c>
      <c r="D27" s="1" t="b">
        <f>IF(D18=FLOOR(D18,1),TRUE,FALSE)</f>
        <v>1</v>
      </c>
      <c r="E27" s="11"/>
      <c r="F27" s="1" t="b">
        <f>IF(F18=FLOOR(F18,1),TRUE,FALSE)</f>
        <v>1</v>
      </c>
    </row>
    <row r="28" spans="1:9" ht="15.6" customHeight="1" x14ac:dyDescent="0.55000000000000004">
      <c r="A28" s="36"/>
      <c r="B28" s="19">
        <v>4</v>
      </c>
      <c r="C28" s="1" t="b">
        <f>IF(C19=FLOOR(C19,1),TRUE,FALSE)</f>
        <v>1</v>
      </c>
      <c r="D28" s="1" t="b">
        <f>IF(D19=FLOOR(D19,1),TRUE,FALSE)</f>
        <v>1</v>
      </c>
      <c r="E28" s="1" t="b">
        <f>IF(E19=FLOOR(E19,1),TRUE,FALSE)</f>
        <v>1</v>
      </c>
      <c r="F28" s="11"/>
    </row>
    <row r="29" spans="1:9" x14ac:dyDescent="0.55000000000000004">
      <c r="A29" s="3"/>
      <c r="B29" s="4"/>
      <c r="C29" s="4"/>
      <c r="D29" s="4"/>
    </row>
    <row r="31" spans="1:9" x14ac:dyDescent="0.55000000000000004">
      <c r="A31" t="s">
        <v>2</v>
      </c>
      <c r="B31" s="37" t="s">
        <v>20</v>
      </c>
      <c r="C31" s="37"/>
      <c r="D31" s="37"/>
      <c r="E31" s="37"/>
      <c r="F31" s="33"/>
      <c r="G31" s="13"/>
      <c r="H31" s="13"/>
      <c r="I31" s="4"/>
    </row>
    <row r="32" spans="1:9" x14ac:dyDescent="0.55000000000000004">
      <c r="C32" s="38" t="s">
        <v>11</v>
      </c>
      <c r="D32" s="38"/>
      <c r="E32" s="38"/>
      <c r="F32" s="38"/>
      <c r="G32" s="4"/>
      <c r="H32" s="4"/>
      <c r="I32" s="4"/>
    </row>
    <row r="33" spans="1:10" x14ac:dyDescent="0.55000000000000004">
      <c r="C33" s="10">
        <v>1</v>
      </c>
      <c r="D33" s="10">
        <v>2</v>
      </c>
      <c r="E33" s="10">
        <v>3</v>
      </c>
      <c r="F33" s="20">
        <v>4</v>
      </c>
      <c r="G33" s="4"/>
      <c r="H33" s="4"/>
      <c r="I33" s="4"/>
    </row>
    <row r="34" spans="1:10" x14ac:dyDescent="0.55000000000000004">
      <c r="A34" s="36" t="s">
        <v>12</v>
      </c>
      <c r="B34" s="1">
        <v>1</v>
      </c>
      <c r="C34" s="11" t="s">
        <v>14</v>
      </c>
      <c r="D34" s="1">
        <v>1</v>
      </c>
      <c r="E34" s="1">
        <v>1</v>
      </c>
      <c r="F34" s="1">
        <v>1</v>
      </c>
      <c r="G34" s="4">
        <f>SUMPRODUCT(C34:F37,$C$16:$F$19)</f>
        <v>3</v>
      </c>
      <c r="H34" s="4" t="s">
        <v>15</v>
      </c>
      <c r="I34" s="14">
        <v>4</v>
      </c>
      <c r="J34" t="b">
        <f>IF(G34=I34,TRUE,FALSE)</f>
        <v>0</v>
      </c>
    </row>
    <row r="35" spans="1:10" x14ac:dyDescent="0.55000000000000004">
      <c r="A35" s="36"/>
      <c r="B35" s="1">
        <v>2</v>
      </c>
      <c r="C35" s="1">
        <v>1</v>
      </c>
      <c r="D35" s="11"/>
      <c r="E35" s="1">
        <v>1</v>
      </c>
      <c r="F35" s="1">
        <v>1</v>
      </c>
      <c r="G35" s="4"/>
      <c r="H35" s="4"/>
      <c r="I35" s="4"/>
    </row>
    <row r="36" spans="1:10" x14ac:dyDescent="0.55000000000000004">
      <c r="A36" s="36"/>
      <c r="B36" s="1">
        <v>3</v>
      </c>
      <c r="C36" s="1">
        <v>1</v>
      </c>
      <c r="D36" s="1">
        <v>1</v>
      </c>
      <c r="E36" s="11"/>
      <c r="F36" s="1">
        <v>1</v>
      </c>
      <c r="G36" s="14"/>
      <c r="H36" s="14"/>
      <c r="I36" s="4"/>
    </row>
    <row r="37" spans="1:10" x14ac:dyDescent="0.55000000000000004">
      <c r="A37" s="36"/>
      <c r="B37" s="19">
        <v>4</v>
      </c>
      <c r="C37" s="1">
        <v>1</v>
      </c>
      <c r="D37" s="1">
        <v>1</v>
      </c>
      <c r="E37" s="11"/>
      <c r="F37" s="1">
        <v>1</v>
      </c>
      <c r="G37" s="14"/>
      <c r="H37" s="14"/>
      <c r="I37" s="4"/>
    </row>
    <row r="38" spans="1:10" x14ac:dyDescent="0.55000000000000004">
      <c r="B38" s="4"/>
      <c r="C38" s="4"/>
      <c r="D38" s="4"/>
      <c r="E38" s="4"/>
      <c r="F38" s="4"/>
      <c r="G38" s="14"/>
      <c r="H38" s="14"/>
      <c r="I38" s="4"/>
    </row>
    <row r="39" spans="1:10" x14ac:dyDescent="0.55000000000000004">
      <c r="B39" s="37" t="s">
        <v>19</v>
      </c>
      <c r="C39" s="37"/>
      <c r="D39" s="37"/>
      <c r="E39" s="37"/>
      <c r="F39" s="33"/>
      <c r="G39" s="14"/>
      <c r="H39" s="14"/>
      <c r="I39" s="4"/>
    </row>
    <row r="40" spans="1:10" x14ac:dyDescent="0.55000000000000004">
      <c r="C40" s="38" t="s">
        <v>11</v>
      </c>
      <c r="D40" s="38"/>
      <c r="E40" s="38"/>
      <c r="F40" s="38"/>
      <c r="G40" s="14"/>
      <c r="H40" s="14"/>
      <c r="I40" s="4"/>
    </row>
    <row r="41" spans="1:10" x14ac:dyDescent="0.55000000000000004">
      <c r="C41" s="10">
        <v>1</v>
      </c>
      <c r="D41" s="10">
        <v>2</v>
      </c>
      <c r="E41" s="10">
        <v>3</v>
      </c>
      <c r="F41" s="20">
        <v>4</v>
      </c>
    </row>
    <row r="42" spans="1:10" x14ac:dyDescent="0.55000000000000004">
      <c r="A42" s="36" t="s">
        <v>12</v>
      </c>
      <c r="B42" s="1">
        <v>1</v>
      </c>
      <c r="C42" s="11"/>
      <c r="D42" s="1">
        <v>1</v>
      </c>
      <c r="E42" s="1"/>
      <c r="F42" s="1"/>
      <c r="G42" s="4">
        <f>SUMPRODUCT(C42:F45,$C$16:$F$19)</f>
        <v>1</v>
      </c>
      <c r="H42" s="17" t="s">
        <v>17</v>
      </c>
      <c r="I42" s="14">
        <v>2</v>
      </c>
      <c r="J42" t="b">
        <f>IF(G42&lt;=I42,TRUE,FALSE)</f>
        <v>1</v>
      </c>
    </row>
    <row r="43" spans="1:10" x14ac:dyDescent="0.55000000000000004">
      <c r="A43" s="36"/>
      <c r="B43" s="1">
        <v>2</v>
      </c>
      <c r="C43" s="1"/>
      <c r="D43" s="11"/>
      <c r="E43" s="1">
        <v>1</v>
      </c>
      <c r="F43" s="1"/>
    </row>
    <row r="44" spans="1:10" x14ac:dyDescent="0.55000000000000004">
      <c r="A44" s="36"/>
      <c r="B44" s="1">
        <v>3</v>
      </c>
      <c r="C44" s="1">
        <v>1</v>
      </c>
      <c r="D44" s="1"/>
      <c r="E44" s="11"/>
      <c r="F44" s="18"/>
    </row>
    <row r="45" spans="1:10" x14ac:dyDescent="0.55000000000000004">
      <c r="A45" s="36"/>
      <c r="B45" s="19">
        <v>4</v>
      </c>
      <c r="C45" s="1"/>
      <c r="D45" s="1"/>
      <c r="E45" s="18"/>
      <c r="F45" s="11"/>
    </row>
    <row r="47" spans="1:10" x14ac:dyDescent="0.55000000000000004">
      <c r="B47" s="37" t="s">
        <v>19</v>
      </c>
      <c r="C47" s="37"/>
      <c r="D47" s="37"/>
      <c r="E47" s="37"/>
      <c r="F47" s="33"/>
    </row>
    <row r="48" spans="1:10" x14ac:dyDescent="0.55000000000000004">
      <c r="C48" s="38" t="s">
        <v>11</v>
      </c>
      <c r="D48" s="38"/>
      <c r="E48" s="38"/>
      <c r="F48" s="38"/>
    </row>
    <row r="49" spans="1:10" x14ac:dyDescent="0.55000000000000004">
      <c r="C49" s="10">
        <v>1</v>
      </c>
      <c r="D49" s="10">
        <v>2</v>
      </c>
      <c r="E49" s="10">
        <v>3</v>
      </c>
      <c r="F49" s="20">
        <v>4</v>
      </c>
    </row>
    <row r="50" spans="1:10" x14ac:dyDescent="0.55000000000000004">
      <c r="A50" s="36" t="s">
        <v>12</v>
      </c>
      <c r="B50" s="1">
        <v>1</v>
      </c>
      <c r="C50" s="11" t="s">
        <v>14</v>
      </c>
      <c r="D50" s="1">
        <v>1</v>
      </c>
      <c r="E50" s="1"/>
      <c r="F50" s="1"/>
      <c r="G50" s="4">
        <f>SUMPRODUCT(C50:F53,$C$16:$F$19)</f>
        <v>1</v>
      </c>
      <c r="H50" s="17" t="s">
        <v>17</v>
      </c>
      <c r="I50" s="14">
        <v>2</v>
      </c>
      <c r="J50" t="b">
        <f>IF(G50&lt;=I50,TRUE,FALSE)</f>
        <v>1</v>
      </c>
    </row>
    <row r="51" spans="1:10" x14ac:dyDescent="0.55000000000000004">
      <c r="A51" s="36"/>
      <c r="B51" s="1">
        <v>2</v>
      </c>
      <c r="C51" s="1"/>
      <c r="D51" s="11"/>
      <c r="E51" s="1"/>
      <c r="F51" s="1">
        <v>1</v>
      </c>
    </row>
    <row r="52" spans="1:10" x14ac:dyDescent="0.55000000000000004">
      <c r="A52" s="36"/>
      <c r="B52" s="1">
        <v>3</v>
      </c>
      <c r="C52" s="1"/>
      <c r="D52" s="1"/>
      <c r="E52" s="11"/>
      <c r="F52" s="18"/>
    </row>
    <row r="53" spans="1:10" x14ac:dyDescent="0.55000000000000004">
      <c r="A53" s="36"/>
      <c r="B53" s="19">
        <v>4</v>
      </c>
      <c r="C53" s="1">
        <v>1</v>
      </c>
      <c r="D53" s="1"/>
      <c r="E53" s="18"/>
      <c r="F53" s="11"/>
    </row>
    <row r="55" spans="1:10" x14ac:dyDescent="0.55000000000000004">
      <c r="B55" s="37" t="s">
        <v>19</v>
      </c>
      <c r="C55" s="37"/>
      <c r="D55" s="37"/>
      <c r="E55" s="37"/>
      <c r="F55" s="33"/>
    </row>
    <row r="56" spans="1:10" x14ac:dyDescent="0.55000000000000004">
      <c r="C56" s="38" t="s">
        <v>11</v>
      </c>
      <c r="D56" s="38"/>
      <c r="E56" s="38"/>
      <c r="F56" s="38"/>
    </row>
    <row r="57" spans="1:10" x14ac:dyDescent="0.55000000000000004">
      <c r="C57" s="10">
        <v>1</v>
      </c>
      <c r="D57" s="10">
        <v>2</v>
      </c>
      <c r="E57" s="10">
        <v>3</v>
      </c>
      <c r="F57" s="20">
        <v>4</v>
      </c>
    </row>
    <row r="58" spans="1:10" x14ac:dyDescent="0.55000000000000004">
      <c r="A58" s="36" t="s">
        <v>12</v>
      </c>
      <c r="B58" s="1">
        <v>1</v>
      </c>
      <c r="C58" s="11" t="s">
        <v>14</v>
      </c>
      <c r="D58" s="1"/>
      <c r="E58" s="1">
        <v>1</v>
      </c>
      <c r="F58" s="1"/>
      <c r="G58" s="4">
        <f>SUMPRODUCT(C58:F61,$C$16:$F$19)</f>
        <v>1</v>
      </c>
      <c r="H58" s="17" t="s">
        <v>17</v>
      </c>
      <c r="I58" s="14">
        <v>2</v>
      </c>
      <c r="J58" t="b">
        <f>IF(G58&lt;=I58,TRUE,FALSE)</f>
        <v>1</v>
      </c>
    </row>
    <row r="59" spans="1:10" x14ac:dyDescent="0.55000000000000004">
      <c r="A59" s="36"/>
      <c r="B59" s="1">
        <v>2</v>
      </c>
      <c r="C59" s="1"/>
      <c r="D59" s="11"/>
      <c r="E59" s="1"/>
      <c r="F59" s="1"/>
    </row>
    <row r="60" spans="1:10" x14ac:dyDescent="0.55000000000000004">
      <c r="A60" s="36"/>
      <c r="B60" s="1">
        <v>3</v>
      </c>
      <c r="C60" s="1"/>
      <c r="D60" s="1"/>
      <c r="E60" s="11"/>
      <c r="F60" s="18">
        <v>1</v>
      </c>
    </row>
    <row r="61" spans="1:10" x14ac:dyDescent="0.55000000000000004">
      <c r="A61" s="36"/>
      <c r="B61" s="19">
        <v>4</v>
      </c>
      <c r="C61" s="1">
        <v>1</v>
      </c>
      <c r="D61" s="1"/>
      <c r="E61" s="18"/>
      <c r="F61" s="18"/>
    </row>
    <row r="62" spans="1:10" x14ac:dyDescent="0.55000000000000004">
      <c r="B62" s="4"/>
      <c r="C62" s="4"/>
      <c r="D62" s="4"/>
      <c r="E62" s="15"/>
      <c r="F62" s="15"/>
    </row>
    <row r="63" spans="1:10" x14ac:dyDescent="0.55000000000000004">
      <c r="B63" s="37" t="s">
        <v>19</v>
      </c>
      <c r="C63" s="37"/>
      <c r="D63" s="37"/>
      <c r="E63" s="37"/>
      <c r="F63" s="33"/>
    </row>
    <row r="64" spans="1:10" x14ac:dyDescent="0.55000000000000004">
      <c r="C64" s="38" t="s">
        <v>11</v>
      </c>
      <c r="D64" s="38"/>
      <c r="E64" s="38"/>
      <c r="F64" s="38"/>
    </row>
    <row r="65" spans="1:10" x14ac:dyDescent="0.55000000000000004">
      <c r="C65" s="10">
        <v>1</v>
      </c>
      <c r="D65" s="10">
        <v>2</v>
      </c>
      <c r="E65" s="10">
        <v>3</v>
      </c>
      <c r="F65" s="20">
        <v>4</v>
      </c>
    </row>
    <row r="66" spans="1:10" x14ac:dyDescent="0.55000000000000004">
      <c r="A66" s="36" t="s">
        <v>12</v>
      </c>
      <c r="B66" s="1">
        <v>1</v>
      </c>
      <c r="C66" s="11" t="s">
        <v>14</v>
      </c>
      <c r="D66" s="1"/>
      <c r="E66" s="1"/>
      <c r="F66" s="1"/>
      <c r="G66" s="4">
        <f>SUMPRODUCT(C66:F69,$C$16:$F$19)</f>
        <v>1</v>
      </c>
      <c r="H66" s="17" t="s">
        <v>17</v>
      </c>
      <c r="I66" s="14">
        <v>2</v>
      </c>
      <c r="J66" t="b">
        <f>IF(G66&lt;=I66,TRUE,FALSE)</f>
        <v>1</v>
      </c>
    </row>
    <row r="67" spans="1:10" x14ac:dyDescent="0.55000000000000004">
      <c r="A67" s="36"/>
      <c r="B67" s="1">
        <v>2</v>
      </c>
      <c r="C67" s="1"/>
      <c r="D67" s="11"/>
      <c r="E67" s="1">
        <v>1</v>
      </c>
      <c r="F67" s="1"/>
    </row>
    <row r="68" spans="1:10" x14ac:dyDescent="0.55000000000000004">
      <c r="A68" s="36"/>
      <c r="B68" s="1">
        <v>3</v>
      </c>
      <c r="C68" s="1"/>
      <c r="D68" s="1"/>
      <c r="E68" s="11"/>
      <c r="F68" s="18">
        <v>1</v>
      </c>
    </row>
    <row r="69" spans="1:10" x14ac:dyDescent="0.55000000000000004">
      <c r="A69" s="36"/>
      <c r="B69" s="19">
        <v>4</v>
      </c>
      <c r="C69" s="1"/>
      <c r="D69" s="1">
        <v>1</v>
      </c>
      <c r="E69" s="18"/>
      <c r="F69" s="18"/>
    </row>
    <row r="70" spans="1:10" x14ac:dyDescent="0.55000000000000004">
      <c r="B70" s="4"/>
      <c r="C70" s="4"/>
      <c r="D70" s="4"/>
      <c r="E70" s="4"/>
      <c r="F70" s="4"/>
      <c r="G70" s="14"/>
      <c r="H70" s="14"/>
      <c r="I70" s="4"/>
    </row>
    <row r="71" spans="1:10" x14ac:dyDescent="0.55000000000000004">
      <c r="B71" s="37" t="s">
        <v>19</v>
      </c>
      <c r="C71" s="37"/>
      <c r="D71" s="37"/>
      <c r="E71" s="37"/>
      <c r="F71" s="33"/>
      <c r="G71" s="14"/>
      <c r="H71" s="14"/>
      <c r="I71" s="4"/>
    </row>
    <row r="72" spans="1:10" x14ac:dyDescent="0.55000000000000004">
      <c r="C72" s="38" t="s">
        <v>11</v>
      </c>
      <c r="D72" s="38"/>
      <c r="E72" s="38"/>
      <c r="F72" s="38"/>
      <c r="G72" s="14"/>
      <c r="H72" s="14"/>
      <c r="I72" s="4"/>
    </row>
    <row r="73" spans="1:10" x14ac:dyDescent="0.55000000000000004">
      <c r="C73" s="10">
        <v>1</v>
      </c>
      <c r="D73" s="10">
        <v>2</v>
      </c>
      <c r="E73" s="10">
        <v>3</v>
      </c>
      <c r="F73" s="20">
        <v>4</v>
      </c>
    </row>
    <row r="74" spans="1:10" x14ac:dyDescent="0.55000000000000004">
      <c r="A74" s="36" t="s">
        <v>12</v>
      </c>
      <c r="B74" s="1">
        <v>1</v>
      </c>
      <c r="C74" s="11"/>
      <c r="D74" s="1"/>
      <c r="E74" s="1">
        <v>1</v>
      </c>
      <c r="F74" s="1"/>
      <c r="G74" s="4">
        <f>SUMPRODUCT(C74:F77,$C$16:$F$19)</f>
        <v>1</v>
      </c>
      <c r="H74" s="17" t="s">
        <v>17</v>
      </c>
      <c r="I74" s="14">
        <v>2</v>
      </c>
      <c r="J74" t="b">
        <f>IF(G74&lt;=I74,TRUE,FALSE)</f>
        <v>1</v>
      </c>
    </row>
    <row r="75" spans="1:10" x14ac:dyDescent="0.55000000000000004">
      <c r="A75" s="36"/>
      <c r="B75" s="1">
        <v>2</v>
      </c>
      <c r="C75" s="1">
        <v>1</v>
      </c>
      <c r="D75" s="11"/>
      <c r="E75" s="1"/>
      <c r="F75" s="1"/>
    </row>
    <row r="76" spans="1:10" x14ac:dyDescent="0.55000000000000004">
      <c r="A76" s="36"/>
      <c r="B76" s="1">
        <v>3</v>
      </c>
      <c r="C76" s="1"/>
      <c r="D76" s="1">
        <v>1</v>
      </c>
      <c r="E76" s="11"/>
      <c r="F76" s="18"/>
    </row>
    <row r="77" spans="1:10" x14ac:dyDescent="0.55000000000000004">
      <c r="A77" s="36"/>
      <c r="B77" s="19">
        <v>4</v>
      </c>
      <c r="C77" s="1"/>
      <c r="D77" s="1"/>
      <c r="E77" s="18"/>
      <c r="F77" s="11"/>
    </row>
    <row r="79" spans="1:10" x14ac:dyDescent="0.55000000000000004">
      <c r="B79" s="37" t="s">
        <v>19</v>
      </c>
      <c r="C79" s="37"/>
      <c r="D79" s="37"/>
      <c r="E79" s="37"/>
      <c r="F79" s="33"/>
    </row>
    <row r="80" spans="1:10" x14ac:dyDescent="0.55000000000000004">
      <c r="C80" s="38" t="s">
        <v>11</v>
      </c>
      <c r="D80" s="38"/>
      <c r="E80" s="38"/>
      <c r="F80" s="38"/>
    </row>
    <row r="81" spans="1:10" x14ac:dyDescent="0.55000000000000004">
      <c r="C81" s="10">
        <v>1</v>
      </c>
      <c r="D81" s="10">
        <v>2</v>
      </c>
      <c r="E81" s="10">
        <v>3</v>
      </c>
      <c r="F81" s="20">
        <v>4</v>
      </c>
    </row>
    <row r="82" spans="1:10" x14ac:dyDescent="0.55000000000000004">
      <c r="A82" s="36" t="s">
        <v>12</v>
      </c>
      <c r="B82" s="1">
        <v>1</v>
      </c>
      <c r="C82" s="11" t="s">
        <v>14</v>
      </c>
      <c r="D82" s="1"/>
      <c r="E82" s="1"/>
      <c r="F82" s="1">
        <v>1</v>
      </c>
      <c r="G82" s="4">
        <f>SUMPRODUCT(C82:F85,$C$16:$F$19)</f>
        <v>1</v>
      </c>
      <c r="H82" s="17" t="s">
        <v>17</v>
      </c>
      <c r="I82" s="14">
        <v>2</v>
      </c>
      <c r="J82" t="b">
        <f>IF(G82&lt;=I82,TRUE,FALSE)</f>
        <v>1</v>
      </c>
    </row>
    <row r="83" spans="1:10" x14ac:dyDescent="0.55000000000000004">
      <c r="A83" s="36"/>
      <c r="B83" s="1">
        <v>2</v>
      </c>
      <c r="C83" s="1">
        <v>1</v>
      </c>
      <c r="D83" s="11"/>
      <c r="E83" s="1"/>
      <c r="F83" s="1"/>
    </row>
    <row r="84" spans="1:10" x14ac:dyDescent="0.55000000000000004">
      <c r="A84" s="36"/>
      <c r="B84" s="1">
        <v>3</v>
      </c>
      <c r="C84" s="1"/>
      <c r="D84" s="1"/>
      <c r="E84" s="11"/>
      <c r="F84" s="18"/>
    </row>
    <row r="85" spans="1:10" x14ac:dyDescent="0.55000000000000004">
      <c r="A85" s="36"/>
      <c r="B85" s="19">
        <v>4</v>
      </c>
      <c r="C85" s="1"/>
      <c r="D85" s="1">
        <v>1</v>
      </c>
      <c r="E85" s="18"/>
      <c r="F85" s="11"/>
    </row>
    <row r="87" spans="1:10" x14ac:dyDescent="0.55000000000000004">
      <c r="B87" s="37" t="s">
        <v>19</v>
      </c>
      <c r="C87" s="37"/>
      <c r="D87" s="37"/>
      <c r="E87" s="37"/>
      <c r="F87" s="33"/>
    </row>
    <row r="88" spans="1:10" x14ac:dyDescent="0.55000000000000004">
      <c r="C88" s="38" t="s">
        <v>11</v>
      </c>
      <c r="D88" s="38"/>
      <c r="E88" s="38"/>
      <c r="F88" s="38"/>
    </row>
    <row r="89" spans="1:10" x14ac:dyDescent="0.55000000000000004">
      <c r="C89" s="10">
        <v>1</v>
      </c>
      <c r="D89" s="10">
        <v>2</v>
      </c>
      <c r="E89" s="10">
        <v>3</v>
      </c>
      <c r="F89" s="20">
        <v>4</v>
      </c>
    </row>
    <row r="90" spans="1:10" x14ac:dyDescent="0.55000000000000004">
      <c r="A90" s="36" t="s">
        <v>12</v>
      </c>
      <c r="B90" s="1">
        <v>1</v>
      </c>
      <c r="C90" s="11" t="s">
        <v>14</v>
      </c>
      <c r="D90" s="1"/>
      <c r="E90" s="1">
        <v>1</v>
      </c>
      <c r="F90" s="1"/>
      <c r="G90" s="4">
        <f>SUMPRODUCT(C90:F93,$C$16:$F$19)</f>
        <v>1</v>
      </c>
      <c r="H90" s="17" t="s">
        <v>17</v>
      </c>
      <c r="I90" s="14">
        <v>2</v>
      </c>
      <c r="J90" t="b">
        <f>IF(G90&lt;=I90,TRUE,FALSE)</f>
        <v>1</v>
      </c>
    </row>
    <row r="91" spans="1:10" x14ac:dyDescent="0.55000000000000004">
      <c r="A91" s="36"/>
      <c r="B91" s="1">
        <v>2</v>
      </c>
      <c r="C91" s="1"/>
      <c r="D91" s="11"/>
      <c r="E91" s="1"/>
      <c r="F91" s="1"/>
    </row>
    <row r="92" spans="1:10" x14ac:dyDescent="0.55000000000000004">
      <c r="A92" s="36"/>
      <c r="B92" s="1">
        <v>3</v>
      </c>
      <c r="C92" s="1"/>
      <c r="D92" s="1"/>
      <c r="E92" s="11"/>
      <c r="F92" s="18">
        <v>1</v>
      </c>
    </row>
    <row r="93" spans="1:10" x14ac:dyDescent="0.55000000000000004">
      <c r="A93" s="36"/>
      <c r="B93" s="19">
        <v>4</v>
      </c>
      <c r="C93" s="1">
        <v>1</v>
      </c>
      <c r="D93" s="1"/>
      <c r="E93" s="18"/>
      <c r="F93" s="18"/>
    </row>
    <row r="94" spans="1:10" x14ac:dyDescent="0.55000000000000004">
      <c r="B94" s="4"/>
      <c r="C94" s="4"/>
      <c r="D94" s="4"/>
      <c r="E94" s="15"/>
      <c r="F94" s="15"/>
    </row>
    <row r="95" spans="1:10" x14ac:dyDescent="0.55000000000000004">
      <c r="B95" s="37" t="s">
        <v>19</v>
      </c>
      <c r="C95" s="37"/>
      <c r="D95" s="37"/>
      <c r="E95" s="37"/>
      <c r="F95" s="33"/>
    </row>
    <row r="96" spans="1:10" x14ac:dyDescent="0.55000000000000004">
      <c r="C96" s="38" t="s">
        <v>11</v>
      </c>
      <c r="D96" s="38"/>
      <c r="E96" s="38"/>
      <c r="F96" s="38"/>
    </row>
    <row r="97" spans="1:10" x14ac:dyDescent="0.55000000000000004">
      <c r="C97" s="10">
        <v>1</v>
      </c>
      <c r="D97" s="10">
        <v>2</v>
      </c>
      <c r="E97" s="10">
        <v>3</v>
      </c>
      <c r="F97" s="20">
        <v>4</v>
      </c>
    </row>
    <row r="98" spans="1:10" x14ac:dyDescent="0.55000000000000004">
      <c r="A98" s="36" t="s">
        <v>12</v>
      </c>
      <c r="B98" s="1">
        <v>1</v>
      </c>
      <c r="C98" s="11" t="s">
        <v>14</v>
      </c>
      <c r="D98" s="1"/>
      <c r="E98" s="1"/>
      <c r="F98" s="1"/>
      <c r="G98" s="4">
        <f>SUMPRODUCT(C98:F101,$C$16:$F$19)</f>
        <v>0</v>
      </c>
      <c r="H98" s="17" t="s">
        <v>17</v>
      </c>
      <c r="I98" s="14">
        <v>2</v>
      </c>
      <c r="J98" t="b">
        <f>IF(G98&lt;=I98,TRUE,FALSE)</f>
        <v>1</v>
      </c>
    </row>
    <row r="99" spans="1:10" x14ac:dyDescent="0.55000000000000004">
      <c r="A99" s="36"/>
      <c r="B99" s="1">
        <v>2</v>
      </c>
      <c r="C99" s="1"/>
      <c r="D99" s="11"/>
      <c r="E99" s="1"/>
      <c r="F99" s="1">
        <v>1</v>
      </c>
    </row>
    <row r="100" spans="1:10" x14ac:dyDescent="0.55000000000000004">
      <c r="A100" s="36"/>
      <c r="B100" s="1">
        <v>3</v>
      </c>
      <c r="C100" s="1"/>
      <c r="D100" s="1">
        <v>1</v>
      </c>
      <c r="E100" s="11"/>
      <c r="F100" s="18"/>
    </row>
    <row r="101" spans="1:10" x14ac:dyDescent="0.55000000000000004">
      <c r="A101" s="36"/>
      <c r="B101" s="19">
        <v>4</v>
      </c>
      <c r="C101" s="1"/>
      <c r="D101" s="1"/>
      <c r="E101" s="18">
        <v>1</v>
      </c>
      <c r="F101" s="18"/>
    </row>
    <row r="102" spans="1:10" x14ac:dyDescent="0.55000000000000004">
      <c r="B102" s="4"/>
      <c r="C102" s="4"/>
      <c r="D102" s="4"/>
      <c r="E102" s="15"/>
      <c r="F102" s="15"/>
    </row>
    <row r="103" spans="1:10" x14ac:dyDescent="0.55000000000000004">
      <c r="B103" s="37" t="s">
        <v>16</v>
      </c>
      <c r="C103" s="37"/>
      <c r="D103" s="37"/>
      <c r="E103" s="37"/>
      <c r="F103" s="33"/>
    </row>
    <row r="104" spans="1:10" x14ac:dyDescent="0.55000000000000004">
      <c r="C104" s="38" t="s">
        <v>11</v>
      </c>
      <c r="D104" s="38"/>
      <c r="E104" s="38"/>
      <c r="F104" s="38"/>
    </row>
    <row r="105" spans="1:10" x14ac:dyDescent="0.55000000000000004">
      <c r="C105" s="10">
        <v>1</v>
      </c>
      <c r="D105" s="10">
        <v>2</v>
      </c>
      <c r="E105" s="10">
        <v>3</v>
      </c>
      <c r="F105" s="20">
        <v>4</v>
      </c>
    </row>
    <row r="106" spans="1:10" x14ac:dyDescent="0.55000000000000004">
      <c r="A106" s="36" t="s">
        <v>12</v>
      </c>
      <c r="B106" s="1">
        <v>1</v>
      </c>
      <c r="C106" s="11" t="s">
        <v>14</v>
      </c>
      <c r="D106" s="1">
        <v>1</v>
      </c>
      <c r="E106" s="1"/>
      <c r="F106" s="1"/>
      <c r="G106" s="4">
        <f>SUMPRODUCT(C106:F109,$C$16:$F$19)</f>
        <v>2</v>
      </c>
      <c r="H106" s="17" t="s">
        <v>17</v>
      </c>
      <c r="I106" s="14">
        <v>1</v>
      </c>
      <c r="J106" t="b">
        <f>IF(G106&lt;=I106,TRUE,FALSE)</f>
        <v>0</v>
      </c>
    </row>
    <row r="107" spans="1:10" x14ac:dyDescent="0.55000000000000004">
      <c r="A107" s="36"/>
      <c r="B107" s="1">
        <v>2</v>
      </c>
      <c r="C107" s="1">
        <v>1</v>
      </c>
      <c r="D107" s="11"/>
      <c r="E107" s="1"/>
      <c r="F107" s="1"/>
    </row>
    <row r="108" spans="1:10" x14ac:dyDescent="0.55000000000000004">
      <c r="A108" s="36"/>
      <c r="B108" s="1">
        <v>3</v>
      </c>
      <c r="C108" s="1"/>
      <c r="D108" s="1"/>
      <c r="E108" s="11"/>
      <c r="F108" s="18"/>
    </row>
    <row r="109" spans="1:10" x14ac:dyDescent="0.55000000000000004">
      <c r="A109" s="36"/>
      <c r="B109" s="19">
        <v>4</v>
      </c>
      <c r="C109" s="1"/>
      <c r="D109" s="1"/>
      <c r="E109" s="1"/>
      <c r="F109" s="1"/>
    </row>
    <row r="110" spans="1:10" x14ac:dyDescent="0.55000000000000004">
      <c r="B110" s="14"/>
    </row>
    <row r="111" spans="1:10" x14ac:dyDescent="0.55000000000000004">
      <c r="B111" s="37" t="s">
        <v>16</v>
      </c>
      <c r="C111" s="37"/>
      <c r="D111" s="37"/>
      <c r="E111" s="37"/>
      <c r="F111" s="33"/>
    </row>
    <row r="112" spans="1:10" x14ac:dyDescent="0.55000000000000004">
      <c r="C112" s="38" t="s">
        <v>11</v>
      </c>
      <c r="D112" s="38"/>
      <c r="E112" s="38"/>
      <c r="F112" s="38"/>
    </row>
    <row r="113" spans="1:10" x14ac:dyDescent="0.55000000000000004">
      <c r="C113" s="10">
        <v>1</v>
      </c>
      <c r="D113" s="10">
        <v>2</v>
      </c>
      <c r="E113" s="10">
        <v>3</v>
      </c>
      <c r="F113" s="20">
        <v>4</v>
      </c>
    </row>
    <row r="114" spans="1:10" x14ac:dyDescent="0.55000000000000004">
      <c r="A114" s="36" t="s">
        <v>12</v>
      </c>
      <c r="B114" s="1">
        <v>1</v>
      </c>
      <c r="C114" s="11" t="s">
        <v>14</v>
      </c>
      <c r="D114" s="1"/>
      <c r="E114" s="1">
        <v>1</v>
      </c>
      <c r="F114" s="1"/>
      <c r="G114" s="4">
        <f>SUMPRODUCT(C114:F117,$C$16:$F$19)</f>
        <v>0</v>
      </c>
      <c r="H114" s="17" t="s">
        <v>17</v>
      </c>
      <c r="I114" s="14">
        <v>1</v>
      </c>
      <c r="J114" t="b">
        <f>IF(G114&lt;=I114,TRUE,FALSE)</f>
        <v>1</v>
      </c>
    </row>
    <row r="115" spans="1:10" x14ac:dyDescent="0.55000000000000004">
      <c r="A115" s="36"/>
      <c r="B115" s="1">
        <v>2</v>
      </c>
      <c r="C115" s="1"/>
      <c r="D115" s="11"/>
      <c r="E115" s="1"/>
      <c r="F115" s="1"/>
    </row>
    <row r="116" spans="1:10" x14ac:dyDescent="0.55000000000000004">
      <c r="A116" s="36"/>
      <c r="B116" s="1">
        <v>3</v>
      </c>
      <c r="C116" s="1">
        <v>1</v>
      </c>
      <c r="D116" s="1"/>
      <c r="E116" s="11"/>
      <c r="F116" s="18"/>
    </row>
    <row r="117" spans="1:10" x14ac:dyDescent="0.55000000000000004">
      <c r="A117" s="36"/>
      <c r="B117" s="19">
        <v>4</v>
      </c>
      <c r="C117" s="1"/>
      <c r="D117" s="1"/>
      <c r="E117" s="1"/>
      <c r="F117" s="1"/>
    </row>
    <row r="118" spans="1:10" x14ac:dyDescent="0.55000000000000004">
      <c r="B118" s="14"/>
    </row>
    <row r="119" spans="1:10" x14ac:dyDescent="0.55000000000000004">
      <c r="B119" s="37" t="s">
        <v>16</v>
      </c>
      <c r="C119" s="37"/>
      <c r="D119" s="37"/>
      <c r="E119" s="37"/>
      <c r="F119" s="33"/>
    </row>
    <row r="120" spans="1:10" x14ac:dyDescent="0.55000000000000004">
      <c r="C120" s="38" t="s">
        <v>11</v>
      </c>
      <c r="D120" s="38"/>
      <c r="E120" s="38"/>
      <c r="F120" s="38"/>
    </row>
    <row r="121" spans="1:10" x14ac:dyDescent="0.55000000000000004">
      <c r="C121" s="10">
        <v>1</v>
      </c>
      <c r="D121" s="10">
        <v>2</v>
      </c>
      <c r="E121" s="10">
        <v>3</v>
      </c>
      <c r="F121" s="20">
        <v>4</v>
      </c>
    </row>
    <row r="122" spans="1:10" x14ac:dyDescent="0.55000000000000004">
      <c r="A122" s="36" t="s">
        <v>12</v>
      </c>
      <c r="B122" s="1">
        <v>1</v>
      </c>
      <c r="C122" s="11" t="s">
        <v>14</v>
      </c>
      <c r="D122" s="1"/>
      <c r="E122" s="1"/>
      <c r="F122" s="1">
        <v>1</v>
      </c>
      <c r="G122" s="4">
        <f>SUMPRODUCT(C122:F125,$C$16:$F$19)</f>
        <v>0</v>
      </c>
      <c r="H122" s="17" t="s">
        <v>17</v>
      </c>
      <c r="I122" s="14">
        <v>1</v>
      </c>
      <c r="J122" t="b">
        <f>IF(G122&lt;=I122,TRUE,FALSE)</f>
        <v>1</v>
      </c>
    </row>
    <row r="123" spans="1:10" x14ac:dyDescent="0.55000000000000004">
      <c r="A123" s="36"/>
      <c r="B123" s="1">
        <v>2</v>
      </c>
      <c r="C123" s="1"/>
      <c r="D123" s="11"/>
      <c r="E123" s="1"/>
      <c r="F123" s="1"/>
    </row>
    <row r="124" spans="1:10" x14ac:dyDescent="0.55000000000000004">
      <c r="A124" s="36"/>
      <c r="B124" s="1">
        <v>3</v>
      </c>
      <c r="C124" s="1"/>
      <c r="D124" s="1"/>
      <c r="E124" s="11"/>
      <c r="F124" s="18"/>
    </row>
    <row r="125" spans="1:10" x14ac:dyDescent="0.55000000000000004">
      <c r="A125" s="36"/>
      <c r="B125" s="19">
        <v>4</v>
      </c>
      <c r="C125" s="1">
        <v>1</v>
      </c>
      <c r="D125" s="1"/>
      <c r="E125" s="1"/>
      <c r="F125" s="1"/>
    </row>
    <row r="126" spans="1:10" x14ac:dyDescent="0.55000000000000004">
      <c r="A126" s="12"/>
      <c r="B126" s="14"/>
      <c r="C126" s="4"/>
      <c r="D126" s="4"/>
      <c r="E126" s="4"/>
      <c r="F126" s="4"/>
    </row>
    <row r="127" spans="1:10" x14ac:dyDescent="0.55000000000000004">
      <c r="B127" s="37" t="s">
        <v>16</v>
      </c>
      <c r="C127" s="37"/>
      <c r="D127" s="37"/>
      <c r="E127" s="37"/>
      <c r="F127" s="33"/>
    </row>
    <row r="128" spans="1:10" x14ac:dyDescent="0.55000000000000004">
      <c r="C128" s="38" t="s">
        <v>11</v>
      </c>
      <c r="D128" s="38"/>
      <c r="E128" s="38"/>
      <c r="F128" s="38"/>
    </row>
    <row r="129" spans="1:10" x14ac:dyDescent="0.55000000000000004">
      <c r="C129" s="10">
        <v>1</v>
      </c>
      <c r="D129" s="10">
        <v>2</v>
      </c>
      <c r="E129" s="10">
        <v>3</v>
      </c>
      <c r="F129" s="20">
        <v>4</v>
      </c>
    </row>
    <row r="130" spans="1:10" x14ac:dyDescent="0.55000000000000004">
      <c r="A130" s="36" t="s">
        <v>12</v>
      </c>
      <c r="B130" s="1">
        <v>1</v>
      </c>
      <c r="C130" s="11" t="s">
        <v>14</v>
      </c>
      <c r="D130" s="1"/>
      <c r="E130" s="1"/>
      <c r="F130" s="1"/>
      <c r="G130" s="4">
        <f>SUMPRODUCT(C130:F133,$C$16:$F$19)</f>
        <v>0</v>
      </c>
      <c r="H130" s="17" t="s">
        <v>17</v>
      </c>
      <c r="I130" s="14">
        <v>1</v>
      </c>
      <c r="J130" t="b">
        <f>IF(G130&lt;=I130,TRUE,FALSE)</f>
        <v>1</v>
      </c>
    </row>
    <row r="131" spans="1:10" x14ac:dyDescent="0.55000000000000004">
      <c r="A131" s="36"/>
      <c r="B131" s="1">
        <v>2</v>
      </c>
      <c r="C131" s="1"/>
      <c r="D131" s="11"/>
      <c r="E131" s="1">
        <v>1</v>
      </c>
      <c r="F131" s="1"/>
    </row>
    <row r="132" spans="1:10" x14ac:dyDescent="0.55000000000000004">
      <c r="A132" s="36"/>
      <c r="B132" s="1">
        <v>3</v>
      </c>
      <c r="C132" s="1"/>
      <c r="D132" s="1">
        <v>1</v>
      </c>
      <c r="E132" s="11"/>
      <c r="F132" s="18"/>
    </row>
    <row r="133" spans="1:10" x14ac:dyDescent="0.55000000000000004">
      <c r="A133" s="36"/>
      <c r="B133" s="19">
        <v>4</v>
      </c>
      <c r="C133" s="1"/>
      <c r="D133" s="1"/>
      <c r="E133" s="1"/>
      <c r="F133" s="1"/>
    </row>
    <row r="134" spans="1:10" x14ac:dyDescent="0.55000000000000004">
      <c r="A134" s="12"/>
      <c r="B134" s="14"/>
      <c r="C134" s="4"/>
      <c r="D134" s="4"/>
      <c r="E134" s="4"/>
      <c r="F134" s="4"/>
    </row>
    <row r="135" spans="1:10" x14ac:dyDescent="0.55000000000000004">
      <c r="B135" s="37" t="s">
        <v>16</v>
      </c>
      <c r="C135" s="37"/>
      <c r="D135" s="37"/>
      <c r="E135" s="37"/>
      <c r="F135" s="33"/>
    </row>
    <row r="136" spans="1:10" x14ac:dyDescent="0.55000000000000004">
      <c r="C136" s="38" t="s">
        <v>11</v>
      </c>
      <c r="D136" s="38"/>
      <c r="E136" s="38"/>
      <c r="F136" s="38"/>
    </row>
    <row r="137" spans="1:10" x14ac:dyDescent="0.55000000000000004">
      <c r="C137" s="10">
        <v>1</v>
      </c>
      <c r="D137" s="10">
        <v>2</v>
      </c>
      <c r="E137" s="10">
        <v>3</v>
      </c>
      <c r="F137" s="20">
        <v>4</v>
      </c>
    </row>
    <row r="138" spans="1:10" x14ac:dyDescent="0.55000000000000004">
      <c r="A138" s="36" t="s">
        <v>12</v>
      </c>
      <c r="B138" s="1">
        <v>1</v>
      </c>
      <c r="C138" s="11" t="s">
        <v>14</v>
      </c>
      <c r="D138" s="1"/>
      <c r="E138" s="1"/>
      <c r="F138" s="1"/>
      <c r="G138" s="4">
        <f>SUMPRODUCT(C138:F141,$C$16:$F$19)</f>
        <v>0</v>
      </c>
      <c r="H138" s="17" t="s">
        <v>17</v>
      </c>
      <c r="I138" s="14">
        <v>1</v>
      </c>
      <c r="J138" t="b">
        <f>IF(G138&lt;=I138,TRUE,FALSE)</f>
        <v>1</v>
      </c>
    </row>
    <row r="139" spans="1:10" x14ac:dyDescent="0.55000000000000004">
      <c r="A139" s="36"/>
      <c r="B139" s="1">
        <v>2</v>
      </c>
      <c r="C139" s="1"/>
      <c r="D139" s="11"/>
      <c r="E139" s="1"/>
      <c r="F139" s="1">
        <v>1</v>
      </c>
    </row>
    <row r="140" spans="1:10" x14ac:dyDescent="0.55000000000000004">
      <c r="A140" s="36"/>
      <c r="B140" s="1">
        <v>3</v>
      </c>
      <c r="C140" s="1"/>
      <c r="D140" s="1"/>
      <c r="E140" s="11"/>
      <c r="F140" s="18"/>
    </row>
    <row r="141" spans="1:10" x14ac:dyDescent="0.55000000000000004">
      <c r="A141" s="36"/>
      <c r="B141" s="19">
        <v>4</v>
      </c>
      <c r="C141" s="1"/>
      <c r="D141" s="1">
        <v>1</v>
      </c>
      <c r="E141" s="1"/>
      <c r="F141" s="1"/>
    </row>
    <row r="142" spans="1:10" x14ac:dyDescent="0.55000000000000004">
      <c r="A142" s="12"/>
      <c r="B142" s="14"/>
      <c r="C142" s="4"/>
      <c r="D142" s="4"/>
      <c r="E142" s="4"/>
      <c r="F142" s="4"/>
    </row>
    <row r="143" spans="1:10" x14ac:dyDescent="0.55000000000000004">
      <c r="B143" s="37" t="s">
        <v>16</v>
      </c>
      <c r="C143" s="37"/>
      <c r="D143" s="37"/>
      <c r="E143" s="37"/>
      <c r="F143" s="33"/>
    </row>
    <row r="144" spans="1:10" x14ac:dyDescent="0.55000000000000004">
      <c r="C144" s="38" t="s">
        <v>11</v>
      </c>
      <c r="D144" s="38"/>
      <c r="E144" s="38"/>
      <c r="F144" s="38"/>
    </row>
    <row r="145" spans="1:10" x14ac:dyDescent="0.55000000000000004">
      <c r="C145" s="10">
        <v>1</v>
      </c>
      <c r="D145" s="10">
        <v>2</v>
      </c>
      <c r="E145" s="10">
        <v>3</v>
      </c>
      <c r="F145" s="20">
        <v>4</v>
      </c>
    </row>
    <row r="146" spans="1:10" x14ac:dyDescent="0.55000000000000004">
      <c r="A146" s="36" t="s">
        <v>12</v>
      </c>
      <c r="B146" s="1">
        <v>1</v>
      </c>
      <c r="C146" s="11" t="s">
        <v>14</v>
      </c>
      <c r="D146" s="1"/>
      <c r="E146" s="1"/>
      <c r="F146" s="1"/>
      <c r="G146" s="4">
        <f>SUMPRODUCT(C146:F149,$C$16:$F$19)</f>
        <v>1</v>
      </c>
      <c r="H146" s="17" t="s">
        <v>17</v>
      </c>
      <c r="I146" s="14">
        <v>1</v>
      </c>
      <c r="J146" t="b">
        <f>IF(G146&lt;=I146,TRUE,FALSE)</f>
        <v>1</v>
      </c>
    </row>
    <row r="147" spans="1:10" x14ac:dyDescent="0.55000000000000004">
      <c r="A147" s="36"/>
      <c r="B147" s="1">
        <v>2</v>
      </c>
      <c r="C147" s="1"/>
      <c r="D147" s="11"/>
      <c r="E147" s="1"/>
      <c r="F147" s="1"/>
    </row>
    <row r="148" spans="1:10" x14ac:dyDescent="0.55000000000000004">
      <c r="A148" s="36"/>
      <c r="B148" s="1">
        <v>3</v>
      </c>
      <c r="C148" s="1"/>
      <c r="D148" s="1"/>
      <c r="E148" s="11"/>
      <c r="F148" s="18">
        <v>1</v>
      </c>
    </row>
    <row r="149" spans="1:10" x14ac:dyDescent="0.55000000000000004">
      <c r="A149" s="36"/>
      <c r="B149" s="19">
        <v>4</v>
      </c>
      <c r="C149" s="1"/>
      <c r="D149" s="1"/>
      <c r="E149" s="1">
        <v>1</v>
      </c>
      <c r="F149" s="1"/>
    </row>
    <row r="150" spans="1:10" x14ac:dyDescent="0.55000000000000004">
      <c r="A150" s="12"/>
      <c r="B150" s="14"/>
      <c r="C150" s="4"/>
      <c r="D150" s="4"/>
      <c r="E150" s="4"/>
      <c r="F150" s="4"/>
    </row>
    <row r="151" spans="1:10" x14ac:dyDescent="0.55000000000000004">
      <c r="A151" s="12"/>
      <c r="B151" s="14"/>
      <c r="C151" s="4"/>
      <c r="D151" s="4"/>
      <c r="E151" s="4"/>
      <c r="F151" s="4"/>
    </row>
    <row r="152" spans="1:10" x14ac:dyDescent="0.55000000000000004">
      <c r="A152" s="12"/>
      <c r="B152" s="14"/>
      <c r="C152" s="4" t="s">
        <v>26</v>
      </c>
      <c r="D152" s="4"/>
      <c r="E152" s="4"/>
      <c r="F152" s="4"/>
    </row>
    <row r="153" spans="1:10" x14ac:dyDescent="0.55000000000000004">
      <c r="C153" s="1">
        <f>C20</f>
        <v>1</v>
      </c>
      <c r="D153" s="1">
        <f t="shared" ref="D153:F153" si="4">D20</f>
        <v>1</v>
      </c>
      <c r="E153" s="1">
        <f t="shared" si="4"/>
        <v>0</v>
      </c>
      <c r="F153" s="1">
        <f t="shared" si="4"/>
        <v>1</v>
      </c>
    </row>
    <row r="154" spans="1:10" x14ac:dyDescent="0.55000000000000004">
      <c r="C154" s="34" t="s">
        <v>15</v>
      </c>
      <c r="D154" s="34" t="s">
        <v>15</v>
      </c>
      <c r="E154" s="34" t="s">
        <v>15</v>
      </c>
      <c r="F154" s="34" t="s">
        <v>15</v>
      </c>
    </row>
    <row r="155" spans="1:10" x14ac:dyDescent="0.55000000000000004">
      <c r="C155" s="1">
        <v>1</v>
      </c>
      <c r="D155" s="1">
        <v>1</v>
      </c>
      <c r="E155" s="1">
        <v>1</v>
      </c>
      <c r="F155" s="1">
        <v>1</v>
      </c>
    </row>
    <row r="156" spans="1:10" x14ac:dyDescent="0.55000000000000004">
      <c r="C156" s="4"/>
      <c r="D156" s="4"/>
      <c r="E156" s="4"/>
      <c r="F156" s="4"/>
    </row>
    <row r="157" spans="1:10" x14ac:dyDescent="0.55000000000000004">
      <c r="C157" t="s">
        <v>27</v>
      </c>
    </row>
    <row r="158" spans="1:10" x14ac:dyDescent="0.55000000000000004">
      <c r="C158" s="1">
        <f>G16</f>
        <v>1</v>
      </c>
      <c r="D158" s="34" t="s">
        <v>15</v>
      </c>
      <c r="E158" s="1">
        <v>1</v>
      </c>
    </row>
    <row r="159" spans="1:10" x14ac:dyDescent="0.55000000000000004">
      <c r="C159" s="1">
        <f>G17</f>
        <v>1</v>
      </c>
      <c r="D159" s="34" t="s">
        <v>15</v>
      </c>
      <c r="E159" s="1">
        <v>1</v>
      </c>
    </row>
    <row r="160" spans="1:10" x14ac:dyDescent="0.55000000000000004">
      <c r="C160" s="1">
        <f>G18</f>
        <v>1</v>
      </c>
      <c r="D160" s="34" t="s">
        <v>15</v>
      </c>
      <c r="E160" s="1">
        <v>1</v>
      </c>
    </row>
    <row r="161" spans="3:5" x14ac:dyDescent="0.55000000000000004">
      <c r="C161" s="1">
        <f>G19</f>
        <v>0</v>
      </c>
      <c r="D161" s="34" t="s">
        <v>15</v>
      </c>
      <c r="E161" s="1">
        <v>1</v>
      </c>
    </row>
  </sheetData>
  <mergeCells count="55">
    <mergeCell ref="A146:A149"/>
    <mergeCell ref="A130:A133"/>
    <mergeCell ref="B135:E135"/>
    <mergeCell ref="C136:F136"/>
    <mergeCell ref="A138:A141"/>
    <mergeCell ref="B143:E143"/>
    <mergeCell ref="C144:F144"/>
    <mergeCell ref="A114:A117"/>
    <mergeCell ref="B119:E119"/>
    <mergeCell ref="C120:F120"/>
    <mergeCell ref="A122:A125"/>
    <mergeCell ref="B127:E127"/>
    <mergeCell ref="C128:F128"/>
    <mergeCell ref="A98:A101"/>
    <mergeCell ref="B103:E103"/>
    <mergeCell ref="C104:F104"/>
    <mergeCell ref="A106:A109"/>
    <mergeCell ref="B111:E111"/>
    <mergeCell ref="C112:F112"/>
    <mergeCell ref="A82:A85"/>
    <mergeCell ref="B87:E87"/>
    <mergeCell ref="C88:F88"/>
    <mergeCell ref="A90:A93"/>
    <mergeCell ref="B95:E95"/>
    <mergeCell ref="C96:F96"/>
    <mergeCell ref="A66:A69"/>
    <mergeCell ref="B71:E71"/>
    <mergeCell ref="C72:F72"/>
    <mergeCell ref="A74:A77"/>
    <mergeCell ref="B79:E79"/>
    <mergeCell ref="C80:F80"/>
    <mergeCell ref="A50:A53"/>
    <mergeCell ref="B55:E55"/>
    <mergeCell ref="C56:F56"/>
    <mergeCell ref="A58:A61"/>
    <mergeCell ref="B63:E63"/>
    <mergeCell ref="C64:F64"/>
    <mergeCell ref="A34:A37"/>
    <mergeCell ref="B39:E39"/>
    <mergeCell ref="C40:F40"/>
    <mergeCell ref="A42:A45"/>
    <mergeCell ref="B47:E47"/>
    <mergeCell ref="C48:F48"/>
    <mergeCell ref="A16:A19"/>
    <mergeCell ref="A23:A24"/>
    <mergeCell ref="C23:F23"/>
    <mergeCell ref="A25:A28"/>
    <mergeCell ref="B31:E31"/>
    <mergeCell ref="C32:F32"/>
    <mergeCell ref="D1:O3"/>
    <mergeCell ref="A6:B6"/>
    <mergeCell ref="C6:F6"/>
    <mergeCell ref="A8:A11"/>
    <mergeCell ref="A14:A15"/>
    <mergeCell ref="C14:F1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34</vt:i4>
      </vt:variant>
    </vt:vector>
  </HeadingPairs>
  <TitlesOfParts>
    <vt:vector size="46" baseType="lpstr">
      <vt:lpstr>Summary</vt:lpstr>
      <vt:lpstr>Original</vt:lpstr>
      <vt:lpstr>00xx</vt:lpstr>
      <vt:lpstr>01xx</vt:lpstr>
      <vt:lpstr>010x</vt:lpstr>
      <vt:lpstr>011xfail</vt:lpstr>
      <vt:lpstr>Pass0100</vt:lpstr>
      <vt:lpstr>0101fail</vt:lpstr>
      <vt:lpstr>00xxVert</vt:lpstr>
      <vt:lpstr>01xxVert</vt:lpstr>
      <vt:lpstr>01xxVert00xx</vt:lpstr>
      <vt:lpstr>01xxVert01xxfail</vt:lpstr>
      <vt:lpstr>'00xx'!Bound</vt:lpstr>
      <vt:lpstr>'00xxVert'!Bound</vt:lpstr>
      <vt:lpstr>'0101fail'!Bound</vt:lpstr>
      <vt:lpstr>'010x'!Bound</vt:lpstr>
      <vt:lpstr>'011xfail'!Bound</vt:lpstr>
      <vt:lpstr>'01xx'!Bound</vt:lpstr>
      <vt:lpstr>'01xxVert'!Bound</vt:lpstr>
      <vt:lpstr>'01xxVert00xx'!Bound</vt:lpstr>
      <vt:lpstr>'01xxVert01xxfail'!Bound</vt:lpstr>
      <vt:lpstr>Original!Bound</vt:lpstr>
      <vt:lpstr>Pass0100!Bound</vt:lpstr>
      <vt:lpstr>'00xx'!ConstraintsFeasible</vt:lpstr>
      <vt:lpstr>'00xxVert'!ConstraintsFeasible</vt:lpstr>
      <vt:lpstr>'0101fail'!ConstraintsFeasible</vt:lpstr>
      <vt:lpstr>'010x'!ConstraintsFeasible</vt:lpstr>
      <vt:lpstr>'011xfail'!ConstraintsFeasible</vt:lpstr>
      <vt:lpstr>'01xx'!ConstraintsFeasible</vt:lpstr>
      <vt:lpstr>'01xxVert'!ConstraintsFeasible</vt:lpstr>
      <vt:lpstr>'01xxVert00xx'!ConstraintsFeasible</vt:lpstr>
      <vt:lpstr>'01xxVert01xxfail'!ConstraintsFeasible</vt:lpstr>
      <vt:lpstr>Original!ConstraintsFeasible</vt:lpstr>
      <vt:lpstr>Pass0100!ConstraintsFeasible</vt:lpstr>
      <vt:lpstr>'00xx'!Feasible</vt:lpstr>
      <vt:lpstr>'00xxVert'!Feasible</vt:lpstr>
      <vt:lpstr>'0101fail'!Feasible</vt:lpstr>
      <vt:lpstr>'010x'!Feasible</vt:lpstr>
      <vt:lpstr>'011xfail'!Feasible</vt:lpstr>
      <vt:lpstr>'01xx'!Feasible</vt:lpstr>
      <vt:lpstr>'01xxVert'!Feasible</vt:lpstr>
      <vt:lpstr>'01xxVert00xx'!Feasible</vt:lpstr>
      <vt:lpstr>'01xxVert01xxfail'!Feasible</vt:lpstr>
      <vt:lpstr>Original!Feasible</vt:lpstr>
      <vt:lpstr>Pass0100!Feasible</vt:lpstr>
      <vt:lpstr>Summary!HeadProblem</vt:lpstr>
    </vt:vector>
  </TitlesOfParts>
  <Company>William &amp; Mary - Raymond A. Mason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Bradley, James</dc:creator>
  <cp:lastModifiedBy>VJ</cp:lastModifiedBy>
  <dcterms:created xsi:type="dcterms:W3CDTF">2016-09-23T16:50:52Z</dcterms:created>
  <dcterms:modified xsi:type="dcterms:W3CDTF">2016-10-15T01:37:01Z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e4db6787-6e24-481b-9b18-f152c964d6fb</vt:lpwstr>
  </property>
</Properties>
</file>